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oes" sheetId="1" state="visible" r:id="rId3"/>
    <sheet name="Avaliacao" sheetId="2" state="visible" r:id="rId4"/>
    <sheet name="Resumo por Provedor" sheetId="3" state="visible" r:id="rId5"/>
    <sheet name="Resumo por Nivel" sheetId="4" state="visible" r:id="rId6"/>
    <sheet name="Revisao"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<sst xmlns="http://schemas.openxmlformats.org/spreadsheetml/2006/main" count="549" uniqueCount="261">
  <si>
    <t xml:space="preserve">Rubrica de avaliação — TCC: escada de complexidade para código gerado por LLMs</t>
  </si>
  <si>
    <t xml:space="preserve">Uma linha por execução na aba 'Avaliacao' (60 = 5 níveis × 4 modelos × 3 tentativas). Revisão de 28/09/2026: regras abaixo aplicadas igualmente a todas as execuções; mudanças na aba 'Revisao'.</t>
  </si>
  <si>
    <t xml:space="preserve">Coluna</t>
  </si>
  <si>
    <t xml:space="preserve">Como preencher</t>
  </si>
  <si>
    <t xml:space="preserve">Rodou sem alteração? (S/N)</t>
  </si>
  <si>
    <t xml:space="preserve">Fórmula: 'S' quando não houve nenhuma correção manual (coluna H = 0); 'N' caso contrário.</t>
  </si>
  <si>
    <t xml:space="preserve">Nº de correcoes manuais</t>
  </si>
  <si>
    <t xml:space="preserve">Quantas mudancas voce precisou fazer no codigo ate ele funcionar. 0 = rodou de primeira.</t>
  </si>
  <si>
    <t xml:space="preserve">Completude (0-5)</t>
  </si>
  <si>
    <t xml:space="preserve">Parte de 5 e perde 1 ponto por requisito do prompt não atendido (Apêndice A do artigo). Escolhas que o prompt não fixa não perdem ponto: interface de entrada (argumento ou interativa), porta, campos extras, modelo de dados (tabelas separadas), 400 ou 409 para duplicidade.</t>
  </si>
  <si>
    <t xml:space="preserve">Qualidade estatica (warnings)</t>
  </si>
  <si>
    <t xml:space="preserve">Coluna J: contagem original. Colunas P a R: reexecução com analise/eslint.mjs (regras recomendadas do ESLint 9; globais de navegador em public/ e similares), normalizada por 100 linhas de JavaScript.</t>
  </si>
  <si>
    <t xml:space="preserve">Boas praticas (1-5)</t>
  </si>
  <si>
    <t xml:space="preserve">Escala 0-5 pela rubrica holística do Quadro 3 do artigo: separação de responsabilidades, tratamento de erros, validação de entrada, nomes e comentários.</t>
  </si>
  <si>
    <t xml:space="preserve">Seguranca (1-5)</t>
  </si>
  <si>
    <t xml:space="preserve">Só no nível 4. Soma de cinco aspectos (0; 0,5; 1): senha com derivação lenta e sal; segredo de sessão fora do código; sessão protegida (1 = cookie httpOnly com token anti-CSRF; 0,5 = SameSite explícito sem token, ou Bearer por cabeçalho; 0 = nenhum); login com o mesmo trabalho para usuário inexistente; nenhuma credencial padrão.</t>
  </si>
  <si>
    <t xml:space="preserve">Observacoes</t>
  </si>
  <si>
    <t xml:space="preserve">Anotações do avaliador feitas durante os testes (mantidas como registradas). A coluna Z resume o que a revisão mudou em cada linha.</t>
  </si>
  <si>
    <t xml:space="preserve">Legenda de cores</t>
  </si>
  <si>
    <t xml:space="preserve">Preencher (amarelo)</t>
  </si>
  <si>
    <t xml:space="preserve">Ja preenchido / calculado (cinza claro)</t>
  </si>
  <si>
    <t xml:space="preserve">Linha de exemplo (verde)</t>
  </si>
  <si>
    <t xml:space="preserve">Preenchido com dados reais (testado)</t>
  </si>
  <si>
    <t xml:space="preserve">Truncado / bloqueado - precisa rerodar ou testar localmente</t>
  </si>
  <si>
    <t xml:space="preserve">Status: 60/60 execuções avaliadas; revisão de 28/09/2026 registrada na aba 'Revisao'.</t>
  </si>
  <si>
    <t xml:space="preserve">Avaliação — 60 execuções (5 níveis × 4 modelos × 3 tentativas) — revisão de 28/09/2026 (ver aba Revisao)</t>
  </si>
  <si>
    <t xml:space="preserve">Nivel</t>
  </si>
  <si>
    <t xml:space="preserve">Nome do nivel</t>
  </si>
  <si>
    <t xml:space="preserve">Provedor</t>
  </si>
  <si>
    <t xml:space="preserve">Modelo (identificador pedido)</t>
  </si>
  <si>
    <t xml:space="preserve">Tentativa</t>
  </si>
  <si>
    <t xml:space="preserve">Tamanho registrado na avaliação (chars)</t>
  </si>
  <si>
    <t xml:space="preserve">Nº correcoes manuais</t>
  </si>
  <si>
    <t xml:space="preserve">ESLint — contagem original</t>
  </si>
  <si>
    <t xml:space="preserve">Boas práticas (0-5)</t>
  </si>
  <si>
    <t xml:space="preserve">Segurança (0-5) = soma U:Y</t>
  </si>
  <si>
    <t xml:space="preserve">Arquivo</t>
  </si>
  <si>
    <t xml:space="preserve">Tamanho do arquivo publicado (chars)</t>
  </si>
  <si>
    <t xml:space="preserve">Linhas JS (reexecução)</t>
  </si>
  <si>
    <t xml:space="preserve">Problemas ESLint (reexecução)</t>
  </si>
  <si>
    <t xml:space="preserve">Problemas por 100 linhas</t>
  </si>
  <si>
    <t xml:space="preserve">Tokens de saída</t>
  </si>
  <si>
    <t xml:space="preserve">Temperatura efetiva</t>
  </si>
  <si>
    <t xml:space="preserve">Seg.: senha (0; 0,5; 1)</t>
  </si>
  <si>
    <t xml:space="preserve">Seg.: segredo de sessão</t>
  </si>
  <si>
    <t xml:space="preserve">Seg.: sessão (CSRF/XSS)</t>
  </si>
  <si>
    <t xml:space="preserve">Seg.: tempo de login</t>
  </si>
  <si>
    <t xml:space="preserve">Seg.: sem credencial padrão</t>
  </si>
  <si>
    <t xml:space="preserve">Nota da revisão (28/09/2026)</t>
  </si>
  <si>
    <t xml:space="preserve">Persistencia simples</t>
  </si>
  <si>
    <t xml:space="preserve">claude</t>
  </si>
  <si>
    <t xml:space="preserve">claude-sonnet-5</t>
  </si>
  <si>
    <t xml:space="preserve">Rodou de primeira (CLI e interativo). Escaping CSV RFC4180 correto; append seguro.</t>
  </si>
  <si>
    <t xml:space="preserve">outputs/nivel0-claude-t1.md</t>
  </si>
  <si>
    <t xml:space="preserve">padrão da API (não enviada)</t>
  </si>
  <si>
    <t xml:space="preserve">Mesma robustez da tentativa 1; pequenas variações de nomenclatura interna.</t>
  </si>
  <si>
    <t xml:space="preserve">outputs/nivel0-claude-t2.md</t>
  </si>
  <si>
    <t xml:space="preserve">gpt</t>
  </si>
  <si>
    <t xml:space="preserve">gpt-5.6 (resolvido pela API: gpt-5.6-sol)</t>
  </si>
  <si>
    <t xml:space="preserve">Usa fs/promises + readline/promises; detecta arquivo vazio antes de escrever cabecalho.</t>
  </si>
  <si>
    <t xml:space="preserve">outputs/nivel0-gpt-t1.md</t>
  </si>
  <si>
    <t xml:space="preserve">Mais defensivo: detecta ausencia de TTY (evita travar esperando input) e checa byte final do arquivo.</t>
  </si>
  <si>
    <t xml:space="preserve">outputs/nivel0-gpt-t2.md</t>
  </si>
  <si>
    <t xml:space="preserve">gemini</t>
  </si>
  <si>
    <t xml:space="preserve">gemini-pro-latest (alias; versão resolvida não registrada)</t>
  </si>
  <si>
    <t xml:space="preserve">So aceita nome via argv, sem fallback interativo (exit(1) se omitido).</t>
  </si>
  <si>
    <t xml:space="preserve">outputs/nivel0-gemini-t1.md</t>
  </si>
  <si>
    <t xml:space="preserve">Completude: 4 → 5; Boas práticas: 4 → 5 (motivo na aba Revisao)</t>
  </si>
  <si>
    <t xml:space="preserve">IGNORA argv por completo - so funciona em modo interativo. Inconsistente com a propria tentativa 1.</t>
  </si>
  <si>
    <t xml:space="preserve">outputs/nivel0-gemini-t2.md</t>
  </si>
  <si>
    <t xml:space="preserve">Completude: 3 → 5; Boas práticas: 3 → 5 (motivo na aba Revisao)</t>
  </si>
  <si>
    <t xml:space="preserve">CRUD com persistencia em banco</t>
  </si>
  <si>
    <t xml:space="preserve">RERODADO com harness corrigido - nao truncou mais (end_turn, 7421 tokens). CRUD 100% funcional: add/list/update/remove, duplicidade rejeitada corretamente. Arquitetura em camadas (db/validators/userService/cli).</t>
  </si>
  <si>
    <t xml:space="preserve">outputs/nivel1-claude-t1.md</t>
  </si>
  <si>
    <t xml:space="preserve">RERODADO com harness corrigido - nao truncou mais (end_turn, 8660 tokens). CRUD 100% funcional. Bonus: oferece menu interativo alem de argv (unico entre os projetos testados a suportar os dois modos de verdade).</t>
  </si>
  <si>
    <t xml:space="preserve">outputs/nivel1-claude-t2.md</t>
  </si>
  <si>
    <t xml:space="preserve">100% de primeira: cadastro, rejeicao de duplicidade com mensagem amigavel, listagem em tabela, atualizacao e remocao - todos testados com sucesso.</t>
  </si>
  <si>
    <t xml:space="preserve">outputs/nivel1-gpt-t1.md</t>
  </si>
  <si>
    <t xml:space="preserve">100% de primeira, incluindo duplicidade case-insensitive (JOAO@ vs joao@) via COLLATE NOCASE.</t>
  </si>
  <si>
    <t xml:space="preserve">outputs/nivel1-gpt-t2.md</t>
  </si>
  <si>
    <t xml:space="preserve">TESTADO PELO USUARIO na propria maquina (better-sqlite3^9.4.3 nao instala no sandbox de teste, mas instala normalmente localmente apos ajuste de versao para ^12.2.0). Menu interativo completo: cadastro, listagem em tabela, duplicidade de email corretamente rejeitada.</t>
  </si>
  <si>
    <t xml:space="preserve">outputs/nivel1-gemini-t1.md</t>
  </si>
  <si>
    <t xml:space="preserve">Correções manuais: 0 → 1 (motivo na aba Revisao)</t>
  </si>
  <si>
    <t xml:space="preserve">TESTADO PELO USUARIO na propria maquina (mesma ressalva de instalacao da t1). CLI via argv (add/list), duplicidade de email corretamente rejeitada.</t>
  </si>
  <si>
    <t xml:space="preserve">outputs/nivel1-gemini-t2.md</t>
  </si>
  <si>
    <t xml:space="preserve">API REST</t>
  </si>
  <si>
    <t xml:space="preserve">RERODADO com harness corrigido - nao truncou mais (end_turn, 7140 tokens). CRUD 100% funcional: 201/409/200/200/204 corretos. Bonus: entregou paginacao (page/limit) nao pedida no prompt.</t>
  </si>
  <si>
    <t xml:space="preserve">outputs/nivel2-claude-t1.md</t>
  </si>
  <si>
    <t xml:space="preserve">sem metadados</t>
  </si>
  <si>
    <t xml:space="preserve">RERODADO com harness corrigido - nao truncou mais (end_turn, 6011 tokens). CRUD 100% funcional: 201/409/200/200/204 corretos. Estrutura em camadas (routes/repository/validation) mais organizada que a t1.</t>
  </si>
  <si>
    <t xml:space="preserve">outputs/nivel2-claude-t2.md</t>
  </si>
  <si>
    <t xml:space="preserve">201/409/200 corretos. Bug cosmetico: log de inicio mostra 'localhost:3000' fixo mesmo rodando em outra porta (o bind real respeita PORT).</t>
  </si>
  <si>
    <t xml:space="preserve">outputs/nivel2-gpt-t1.md</t>
  </si>
  <si>
    <t xml:space="preserve">Implementacao mais rigorosa do grupo: respeita PORT corretamente (inclusive no log), retorna 409 Conflict correto, erros estruturados com status+mensagem, sem framework (http nativo).</t>
  </si>
  <si>
    <t xml:space="preserve">outputs/nivel2-gpt-t2.md</t>
  </si>
  <si>
    <t xml:space="preserve">POST/GET testados com sucesso. Porta hardcoded em 3000 (ignora env PORT). Retorna 400 (nao 409) para e-mail duplicado.</t>
  </si>
  <si>
    <t xml:space="preserve">outputs/nivel2-gemini-t1.md</t>
  </si>
  <si>
    <t xml:space="preserve">Completude: 4 → 5 (motivo na aba Revisao)</t>
  </si>
  <si>
    <t xml:space="preserve">NAO entregou package.json pronto (so instruiu 'npm init -y &amp;&amp; npm install' manualmente) - falha de completude frente ao prompt. Mesma porta hardcoded e status 400 em duplicidade.</t>
  </si>
  <si>
    <t xml:space="preserve">outputs/nivel2-gemini-t2.md</t>
  </si>
  <si>
    <t xml:space="preserve">Completude: 3 → 4 (motivo na aba Revisao)</t>
  </si>
  <si>
    <t xml:space="preserve">Sistema web full-stack</t>
  </si>
  <si>
    <t xml:space="preserve">CRUD completo funcional (201/409/200/200/204). Adicionou campo 'telefone' (opcional) por conta propria - nivel nao especificava campos, entao foi decisao razoavel documentada. Rota/campos em portugues.</t>
  </si>
  <si>
    <t xml:space="preserve">outputs/nivel3-claude-t1.md</t>
  </si>
  <si>
    <t xml:space="preserve">CRUD completo funcional (201/409/200/200/204), so name+email (sem telefone). Rota/campos em ingles - mesma inconsistencia de idioma entre tentativas que apareceu nos outros 2 provedores.</t>
  </si>
  <si>
    <t xml:space="preserve">outputs/nivel3-claude-t2.md</t>
  </si>
  <si>
    <t xml:space="preserve">CRUD completo funcional (201/409/200/200/204). Respeita PORT via env corretamente. Rota em portugues (/api/usuarios), timestamps criadoEm/atualizadoEm.</t>
  </si>
  <si>
    <t xml:space="preserve">outputs/nivel3-gpt-t1.md</t>
  </si>
  <si>
    <t xml:space="preserve">CRUD completo funcional (201/409/200/200/204), com bonus: endpoint /api/health nao pedido no prompt. Mensagens de erro estruturadas por campo (fields.email). Rota em ingles (/api/users).</t>
  </si>
  <si>
    <t xml:space="preserve">outputs/nivel3-gpt-t2.md</t>
  </si>
  <si>
    <t xml:space="preserve">CRUD completo funcional (201/400/200/200/200), frontend estatico servido corretamente. Vaza erro bruto do SQLite pro cliente em caso de duplicidade ('SQLITE_CONSTRAINT: UNIQUE...') em vez de mensagem amigavel - detalhe de implementacao exposto.</t>
  </si>
  <si>
    <t xml:space="preserve">outputs/nivel3-gemini-t1.md</t>
  </si>
  <si>
    <t xml:space="preserve">CRUD completo funcional, identico em estrutura a t1. Diferenca: mensagem de erro amigavel na duplicidade ('Email pode ja existir') em vez de vazar o erro do SQLite - mais cuidadoso que a t1 nesse ponto especifico.</t>
  </si>
  <si>
    <t xml:space="preserve">outputs/nivel3-gemini-t2.md</t>
  </si>
  <si>
    <t xml:space="preserve">Seguranca (autenticacao e autorizacao)</t>
  </si>
  <si>
    <t xml:space="preserve">SEGURANCA - testado de ponta a ponta. Interpretacao de dados DIFERENTE dos outros dois modelos: separa 'users' (login) de 'records' (o que e de fato cadastrado, com titulo+descricao e dono/owner via JOIN) - leitura valida do prompt, ja que o nivel nao especificava os campos. Hash com scrypt nativo do Node + timingSafeEqual (mesmo nivel do GPT). JWT_SECRET vem de env var com fallback CLARAMENTE rotulado 'dev-secret-nao-use-em-producao' (bem melhor que o secret hardcoded do Gemini, que nao alertava nada). Cookie: httpOnly + sameSite=lax (comentado explicitamente como mitigacao de CSRF) + secure condicional a NODE_ENV=production. Sem admin padrao: usa endpoint publico /register para autocadastro, sem senha fraca pre-definida. NAO tem token CSRF dedicado (diferente do GPT) - depende so do sameSite=lax, que e uma protecao real mas mais fraca que double-submit token.</t>
  </si>
  <si>
    <t xml:space="preserve">outputs/nivel4-claude-t1.md</t>
  </si>
  <si>
    <t xml:space="preserve">Completude: 4 → 5; Segurança: 4 → 3,0 (motivo na aba Revisao)</t>
  </si>
  <si>
    <t xml:space="preserve">SEGURANCA - mesmo padrao de qualidade da t1 (sameSite=lax comentado, secret com fallback rotulado como dev, endpoint /register publico, sem admin padrao fraco). Diferenca: usa bcryptjs (hash $2a$10$..., salgado corretamente) em vez de scrypt nativo - escolha tambem valida, mas sem a mitigacao extra de timing attack via timingSafeEqual que o bcrypt ja resolve internamente por design. Testado ponta a ponta: listagem publica, bloqueio sem sessao (401), registro+login+criacao autenticada funcionando.</t>
  </si>
  <si>
    <t xml:space="preserve">outputs/nivel4-claude-t2.md</t>
  </si>
  <si>
    <t xml:space="preserve">SEGURANCA - a implementacao mais rigorosa dos 3 modelos, testada de ponta a ponta. Hash com scrypt (parametros explicitos N=16384/r=8/p=1) + comparacao em tempo constante (timingSafeEqual) - protege contra timing attack, algo que nem o Gemini fez. Sessao armazenada no servidor (token aleatorio, nao JWT) - revogavel, sem secret no codigo. Cookie com sameSite=lax + secure condicional + httpOnly. CSRF REAL: token dedicado por sessao, exigido via header x-csrf-token, comparado em tempo constante - testei o ataque simulado (cookie presente, sem header) e foi bloqueado (403); fluxo legitimo com token correto funcionou (201). NAO cria admin padrao com senha fraca - exige script separado (create-admin) com senha via variavel de ambiente, evitando expor a senha no historico do shell.</t>
  </si>
  <si>
    <t xml:space="preserve">outputs/nivel4-gpt-t1.md</t>
  </si>
  <si>
    <t xml:space="preserve">SEGURANCA - mesma robustez da t1, com um detalhe a mais: sameSite='strict' (mais restritivo que 'lax' da t1), e executa o scrypt mesmo quando o usuario nao existe no login, de proposito, para que tentativas com usuario invalido e senha errada demorem o mesmo tempo - mitigacao de timing attack no proprio endpoint de login, raro de ver implementado. CSRF testado e confirmado: ataque sem token bloqueado (403), fluxo legitimo passou pelas camadas de auth+CSRF corretamente.</t>
  </si>
  <si>
    <t xml:space="preserve">outputs/nivel4-gpt-t2.md</t>
  </si>
  <si>
    <t xml:space="preserve">SEGURANCA - testado de ponta a ponta: listagem publica (200) e /add e /delete corretamente bloqueados sem sessao (302), liberados com sessao valida. Senha com hash bcrypt real e salgado ($2b$10$..., unico por usuario) - nao ha senha em texto puro no banco. PORTAS: ignora env PORT (hardcoded 3000, mesmo padrao dos outros niveis do Gemini). FALHAS DE SEGURANCA REAIS: (1) JWT_SECRET hardcoded no codigo-fonte; (2) usuario admin padrao com senha fraca 'admin123' criado automaticamente e logado no console; (3) cookie de sessao SEM SameSite nem Secure explicitos - a app comenta que usa POST em vez de GET para 'evitar CSRF simples', o que e um equivoco: POST sozinho nao previne CSRF; sem SameSite explicito a protecao depende so do default do navegador, nao de decisao de design.</t>
  </si>
  <si>
    <t xml:space="preserve">outputs/nivel4-gemini-t1.md</t>
  </si>
  <si>
    <t xml:space="preserve">Segurança: 3 → 1 (motivo na aba Revisao)</t>
  </si>
  <si>
    <t xml:space="preserve">SEGURANCA - testado de ponta a ponta. Mesmo JWT_SECRET hardcoded da t1 ('super_secret_key_123', literalmente identico - sugere que e um valor 'padrao' do modelo, nao aleatorio) e mesmo admin auto-criado com senha fraca (admin/admin123). DIFERENCA ARQUITETURAL relevante: em vez de cookie httpOnly (usado na t1), esta tentativa guarda o JWT em localStorage no frontend e manda via header 'Authorization: Bearer'. Troca um risco por outro: elimina a exposicao a CSRF que a t1 tinha (Bearer nao e enviado automaticamente cross-site como cookie), mas introduce exposicao a roubo de token via XSS, ja que localStorage e acessivel por qualquer JS da pagina (diferente de cookie httpOnly, que o JS nao consegue ler). Testado: listagem publica (200), criacao sem token bloqueada (401), hash bcrypt salgado confirmado no banco.</t>
  </si>
  <si>
    <t xml:space="preserve">outputs/nivel4-gemini-t2.md</t>
  </si>
  <si>
    <t xml:space="preserve">Segurança: 3 → 1,5 (motivo na aba Revisao)</t>
  </si>
  <si>
    <t xml:space="preserve">groq</t>
  </si>
  <si>
    <t xml:space="preserve">openai/gpt-oss-120b (Groq)</t>
  </si>
  <si>
    <t xml:space="preserve">N/A</t>
  </si>
  <si>
    <t xml:space="preserve">Confirmado em teste local pelo autor (28/08/2026): duas execucoes consecutivas, users.csv com duas linhas, sem sobrescrever a anterior. Nao testavel no sandbox automatizado por exigir terminal real (prompt-sync) - mesma categoria do Gemini nivel 1.</t>
  </si>
  <si>
    <t xml:space="preserve">outputs/nivel0-groq-t1.md</t>
  </si>
  <si>
    <t xml:space="preserve">Via argumento de linha de comando (nao interativo). Testado: duas execucoes, CSV com 2 linhas, sem sobrescrever.</t>
  </si>
  <si>
    <t xml:space="preserve">outputs/nivel0-groq-t2.md</t>
  </si>
  <si>
    <t xml:space="preserve">CRUD completo via commander (add/list/update/delete), com confirmacao y/n na remocao. Testado: cadastro, duplicidade de e-mail rejeitada, atualizacao, remocao - tudo funcional.</t>
  </si>
  <si>
    <t xml:space="preserve">outputs/nivel1-groq-t1.md</t>
  </si>
  <si>
    <t xml:space="preserve">Confirmado em teste local pelo autor (28/08/2026), apos correcao de 2 dependencias (better-sqlite3 e inquirer, ver Seccao metodologica): cadastro, listagem e bloqueio de e-mail duplicado (mensagem amigavel, sem prosseguir) - tudo funcional. Nao testavel no sandbox automatizado por exigir terminal real (inquirer) - mesma categoria do Gemini nivel 1.</t>
  </si>
  <si>
    <t xml:space="preserve">outputs/nivel1-groq-t2.md</t>
  </si>
  <si>
    <t xml:space="preserve">Rodou sem alteração passa a 'N' (regra única: 'S' só sem nenhuma alteração).</t>
  </si>
  <si>
    <t xml:space="preserve">1 correcao manual: package.json continha uma linha de comentario invalida ('// package.json') dentro do JSON, quebrando o parsing - removida. Apos a correcao: CRUD completo via /users, 409 correto para e-mail duplicado.</t>
  </si>
  <si>
    <t xml:space="preserve">outputs/nivel2-groq-t1.md</t>
  </si>
  <si>
    <t xml:space="preserve">1 correcao manual: codigo importava o pacote 'sqlite' (wrapper de promises), mas so 'sqlite3' estava declarado no package.json - adicionado. CRUD funcional, mas retorna 400 (nao 409) para e-mail duplicado - inconsistente com a tentativa 1 do mesmo modelo.</t>
  </si>
  <si>
    <t xml:space="preserve">outputs/nivel2-groq-t2.md</t>
  </si>
  <si>
    <t xml:space="preserve">Rotas em /api/users (nao /users, como a descricao inicial sugeria). Campo 'age' em vez de 'birthdate' - interpretacao valida, pois o nivel nao especifica campos. CRUD completo testado, 409 correto; DELETE retorna 200 em vez de 204 (estilo, nao erro).</t>
  </si>
  <si>
    <t xml:space="preserve">outputs/nivel3-groq-t1.md</t>
  </si>
  <si>
    <t xml:space="preserve">CRUD completo funcional, 409 correto, DELETE 204. Boas praticas com ressalva: um stack trace bruto do SQLite (constraint de e-mail duplicado) e impresso no console do servidor mesmo a API respondendo corretamente ao cliente - vazamento de log, nao de seguranca.</t>
  </si>
  <si>
    <t xml:space="preserve">outputs/nivel3-groq-t2.md</t>
  </si>
  <si>
    <t xml:space="preserve">2 correcoes manuais: dependencia 'dotenv' usada no codigo mas ausente do package.json (adicionada); e o arquivo db/schema.sql nao foi extraido automaticamente (cabecalho com nome de arquivo entre parenteses no meio da frase, fora do padrao de extracao - criado manualmente com o conteudo exato do .md original, e o extrator foi atualizado para esse padrao). Seguranca: bcrypt correto, autenticacao via Bearer token (token nao enviado automaticamente pelo navegador em requisicoes cross-site, logo sem exposicao a CSRF por arquitetura), sem admin padrao (autocadastro publico). Segredo JWT com fallback rotulado (nao hardcoded puro).</t>
  </si>
  <si>
    <t xml:space="preserve">outputs/nivel4-groq-t1.md</t>
  </si>
  <si>
    <t xml:space="preserve">Correções manuais: 2 → 1; Boas práticas: em branco → 4; Segurança: 4 → 3,0 (motivo na aba Revisao)</t>
  </si>
  <si>
    <t xml:space="preserve">Arquitetura diferente da tentativa 1: usa cookie de sessao em vez de Bearer token. bcrypt correto (confirmado no banco), bloqueio sem token funcional. Porem cookie SEM atributo SameSite (confirmado via header Set-Cookie bruto) - mesma lacuna de CSRF real encontrada no Gemini nivel 4. Segredo JWT hardcoded com fallback ('supersecretkey'). Inconsistencia arquitetural relevante entre as duas tentativas do mesmo modelo neste nivel.</t>
  </si>
  <si>
    <t xml:space="preserve">outputs/nivel4-groq-t2.md</t>
  </si>
  <si>
    <t xml:space="preserve">Segurança: 3 → 2,5 (motivo na aba Revisao)</t>
  </si>
  <si>
    <t xml:space="preserve">Interativo (readline) e via argumento; ambos testados com sucesso. CSV com cabecalho, escapamento RFC 4180 completo.</t>
  </si>
  <si>
    <t xml:space="preserve">outputs/nivel0-claude-t3.md</t>
  </si>
  <si>
    <t xml:space="preserve">gemini-3.1-pro-preview</t>
  </si>
  <si>
    <t xml:space="preserve">Via argumento de linha de comando. Testado: duas execucoes, CSV com 2 linhas e cabecalho, sem sobrescrever.</t>
  </si>
  <si>
    <t xml:space="preserve">outputs/nivel0-gemini-t3.md</t>
  </si>
  <si>
    <t xml:space="preserve">Interativo e via argumento. Testado: duas execucoes, CSV com cabecalho, sem sobrescrever.</t>
  </si>
  <si>
    <t xml:space="preserve">outputs/nivel0-gpt-t3.md</t>
  </si>
  <si>
    <t xml:space="preserve">Interativo e via argumento. Testado: duas execucoes, CSV sem cabecalho mas sem sobrescrever.</t>
  </si>
  <si>
    <t xml:space="preserve">outputs/nivel0-groq-t3.md</t>
  </si>
  <si>
    <t xml:space="preserve">CLI com parsing manual de argumentos (--name/--email/--dob). CRUD completo testado: cadastro, duplicidade de e-mail rejeitada, atualizacao, remocao.</t>
  </si>
  <si>
    <t xml:space="preserve">outputs/nivel1-claude-t3.md</t>
  </si>
  <si>
    <t xml:space="preserve">Menu interativo via readline; testavel neste sandbox apenas com delay artificial entre respostas simuladas (limitacao de teste, nao do codigo). Cadastro e listagem confirmados.</t>
  </si>
  <si>
    <t xml:space="preserve">outputs/nivel1-gemini-t3.md</t>
  </si>
  <si>
    <t xml:space="preserve">CLI com aliases em portugues/ingles. CRUD completo testado, incluindo confirmacao de seguranca (--sim) exigida para remocao - boa pratica, nao bug.</t>
  </si>
  <si>
    <t xml:space="preserve">outputs/nivel1-gpt-t3.md</t>
  </si>
  <si>
    <t xml:space="preserve">2 correcoes manuais: better-sqlite3^9.4.3 sem binario pre-compilado (subido para ^12.2.0); chalk^5.3.0 e ESM-only, incompativel com require() do codigo (rebaixado para ^4.1.2). Apos corrigir, CRUD completo funcional com duplicidade rejeitada.</t>
  </si>
  <si>
    <t xml:space="preserve">outputs/nivel1-groq-t3.md</t>
  </si>
  <si>
    <t xml:space="preserve">API REST completa testada via HTTP real: criar, listar, 409 em duplicidade.</t>
  </si>
  <si>
    <t xml:space="preserve">outputs/nivel2-claude-t3.md</t>
  </si>
  <si>
    <t xml:space="preserve">API REST completa testada via HTTP real: criar, listar, 409 em duplicidade, prepared statements explicitos documentados no codigo.</t>
  </si>
  <si>
    <t xml:space="preserve">outputs/nivel2-gemini-t3.md</t>
  </si>
  <si>
    <t xml:space="preserve">API REST completa testada via HTTP real: criar, listar, 409 em duplicidade, envelope {dados,total} consistente.</t>
  </si>
  <si>
    <t xml:space="preserve">outputs/nivel2-gpt-t3.md</t>
  </si>
  <si>
    <t xml:space="preserve">2 correcoes manuais: comentario invalido '// package.json' dentro do proprio JSON (extrator atualizado para remover automaticamente); codigo nao criava o diretorio data/ necessario para o SQLite (SQLITE_CANTOPEN ate criar manualmente). Apos corrigir, CRUD completo funcional.</t>
  </si>
  <si>
    <t xml:space="preserve">outputs/nivel2-groq-t3.md</t>
  </si>
  <si>
    <t xml:space="preserve">Frontend + API REST completos testados via HTTP real: criar, listar, 409 em duplicidade.</t>
  </si>
  <si>
    <t xml:space="preserve">outputs/nivel3-claude-t3.md</t>
  </si>
  <si>
    <t xml:space="preserve">Frontend + API REST funcionais, mas com duas ressalvas de qualidade: porta hardcoded em 3000 (ignora variavel de ambiente PORT) e erro bruto do SQLite (UNIQUE constraint) vazado diretamente na resposta ao cliente em vez de mensagem amigavel (400 em vez de 409).</t>
  </si>
  <si>
    <t xml:space="preserve">outputs/nivel3-gemini-t3.md</t>
  </si>
  <si>
    <t xml:space="preserve">Frontend + API REST completos testados via HTTP real: criar, listar, 409 em duplicidade, mensagens em portugues consistentes.</t>
  </si>
  <si>
    <t xml:space="preserve">outputs/nivel3-gpt-t3.md</t>
  </si>
  <si>
    <t xml:space="preserve">1 correcao manual: dependencia 'cors' usada no codigo mas ausente do package.json (adicionada). Estrutura frontend/backend separada (nao e defeito, e escolha arquitetural valida). Apos corrigir, CRUD completo via HTTP real funcional.</t>
  </si>
  <si>
    <t xml:space="preserve">outputs/nivel3-groq-t3.md</t>
  </si>
  <si>
    <t xml:space="preserve">Autenticacao Bearer token completa testada: listagem publica, bloqueio sem token (401), registro, login, hash bcrypt confirmado no banco. Segredo JWT com fallback rotulado (nao hardcoded puro). ESLint reportou 12 avisos brutos, mas 11 sao falso-positivo de ambiente (localStorage/funcoes chamadas via onclick em public/app.js, arquivo de navegador lintado com regras de Node.js) - apenas 1 aviso real (variavel 'err' nao utilizada).</t>
  </si>
  <si>
    <t xml:space="preserve">outputs/nivel4-claude-t3.md</t>
  </si>
  <si>
    <t xml:space="preserve">Segurança: 4 → 3,0 (motivo na aba Revisao)</t>
  </si>
  <si>
    <t xml:space="preserve">Autenticacao por cookie completa testada: listagem publica, bloqueio sem token (401), login com credencial administrativa padrao fraca (admin/admin123) criada automaticamente e funcional de primeira - terceira ocorrencia identica nas tres tentativas deste nivel. Segredo JWT hardcoded sem fallback via variavel de ambiente. Cookie sem atributo SameSite.</t>
  </si>
  <si>
    <t xml:space="preserve">outputs/nivel4-gemini-t3.md</t>
  </si>
  <si>
    <t xml:space="preserve">Segurança: 2 → 1 (motivo na aba Revisao)</t>
  </si>
  <si>
    <t xml:space="preserve">Autenticacao por sessao (cookie) com formularios server-side testada de ponta a ponta: bloqueio sem login (302 redirect), criacao de admin via script dedicado (sem credencial padrao), login funcional, sessao autenticada confirmada, hash scrypt binario no banco. Token de sessao criptografico (crypto.randomBytes), token CSRF dedicado, cookie SameSite=strict.</t>
  </si>
  <si>
    <t xml:space="preserve">outputs/nivel4-gpt-t3.md</t>
  </si>
  <si>
    <t xml:space="preserve">Autenticacao Bearer token completa testada: listagem publica, bloqueio sem token (401), registro publico (sem admin padrao), login retornando JWT valido. Segredo JWT com fallback rotulado.</t>
  </si>
  <si>
    <t xml:space="preserve">outputs/nivel4-groq-t3.md</t>
  </si>
  <si>
    <t xml:space="preserve">Resumo agregado por provedor</t>
  </si>
  <si>
    <t xml:space="preserve">Calculado automaticamente a partir da aba 'Avaliacao' - preencha aquela aba primeiro.</t>
  </si>
  <si>
    <t xml:space="preserve">Rodou sem alteração (%)</t>
  </si>
  <si>
    <t xml:space="preserve">Media correcoes manuais</t>
  </si>
  <si>
    <t xml:space="preserve">Completude media</t>
  </si>
  <si>
    <t xml:space="preserve">ESLint original (média por execução)</t>
  </si>
  <si>
    <t xml:space="preserve">Boas praticas media</t>
  </si>
  <si>
    <t xml:space="preserve">Seguranca media (nivel 4)</t>
  </si>
  <si>
    <t xml:space="preserve">Execuções sem alteração (de 15)</t>
  </si>
  <si>
    <t xml:space="preserve">Total de correções</t>
  </si>
  <si>
    <t xml:space="preserve">Problemas ESLint por 100 linhas (reexecução)</t>
  </si>
  <si>
    <t xml:space="preserve">Linhas JS por execução (média)</t>
  </si>
  <si>
    <t xml:space="preserve">Tokens de saída por execução (média)</t>
  </si>
  <si>
    <t xml:space="preserve">Resumo por nível da escada (responde à pergunta de pesquisa: efeito da complexidade)</t>
  </si>
  <si>
    <t xml:space="preserve">Calculado a partir da aba 'Avaliacao'. Boas práticas e completude em escala 0-5 (média das três tentativas).</t>
  </si>
  <si>
    <t xml:space="preserve">Nível</t>
  </si>
  <si>
    <t xml:space="preserve">Completude média</t>
  </si>
  <si>
    <t xml:space="preserve">Boas práticas — Claude</t>
  </si>
  <si>
    <t xml:space="preserve">Boas práticas — GPT</t>
  </si>
  <si>
    <t xml:space="preserve">Boas práticas — Gemini</t>
  </si>
  <si>
    <t xml:space="preserve">Boas práticas — GPT-OSS</t>
  </si>
  <si>
    <t xml:space="preserve">Boas práticas — média</t>
  </si>
  <si>
    <t xml:space="preserve">Problemas ESLint por 100 linhas</t>
  </si>
  <si>
    <t xml:space="preserve">Correções manuais (total)</t>
  </si>
  <si>
    <t xml:space="preserve">Revisão de 28/09/2026 — notas alteradas, valor original e regra aplicada</t>
  </si>
  <si>
    <t xml:space="preserve">Regras aplicadas igualmente às 60 execuções: completude parte de 5 e perde 1 ponto por requisito do prompt não atendido (interface de entrada, porta, modelo de dados e 400 ou 409 para duplicidade não são fixados pelo prompt); correção = qualquer alteração nos arquivos gerados para rodar (falha do extrator não conta); segurança = soma de cinco aspectos (0; 0,5; 1). ESLint reexecutado com configuração publicada em analise/.</t>
  </si>
  <si>
    <t xml:space="preserve">Execução</t>
  </si>
  <si>
    <t xml:space="preserve">Campo</t>
  </si>
  <si>
    <t xml:space="preserve">Original</t>
  </si>
  <si>
    <t xml:space="preserve">Revisado</t>
  </si>
  <si>
    <t xml:space="preserve">Motivo / regra</t>
  </si>
  <si>
    <t xml:space="preserve">nivel0-gemini-t1</t>
  </si>
  <si>
    <t xml:space="preserve">Completude</t>
  </si>
  <si>
    <t xml:space="preserve">O prompt não fixa a interface de entrada (argumento ou modo interativo); a mesma escolha teve nota 5 no GPT-OSS (nível 0, t1 e t2) e no Gemini t3.</t>
  </si>
  <si>
    <t xml:space="preserve">Boas práticas</t>
  </si>
  <si>
    <t xml:space="preserve">A nota refletia só a interface de entrada (ver completude); código equivalente ao da t3, que teve 5.</t>
  </si>
  <si>
    <t xml:space="preserve">nivel0-gemini-t2</t>
  </si>
  <si>
    <t xml:space="preserve">A nota refletia só a interface de entrada; o código escapa aspas no CSV e trata erro de escrita, como a t3 (nota 5).</t>
  </si>
  <si>
    <t xml:space="preserve">nivel2-gemini-t1</t>
  </si>
  <si>
    <t xml:space="preserve">Porta fixa e status 400 para e-mail duplicado não são requisitos do prompt; 400 foi aceito no GPT-OSS (nível 2, t2), no Gemini (nível 3) e no GPT (nível 4). A porta fixa continua pesando em boas práticas, como nos demais.</t>
  </si>
  <si>
    <t xml:space="preserve">nivel2-gemini-t2</t>
  </si>
  <si>
    <t xml:space="preserve">Mantida a perda de 1 ponto por não entregar o package.json (restrição 'entregue todos os arquivos necessários'); porta fixa e status 400 deixam de contar.</t>
  </si>
  <si>
    <t xml:space="preserve">nivel4-claude-t1</t>
  </si>
  <si>
    <t xml:space="preserve">Separar as contas de login dos registros (tabela records com owner_id) é leitura válida do prompt, a mesma do Claude t3 e do GPT-OSS t1 (items) e t3 (profiles), que tiveram nota 5; é também o que a OWASP recomenda para controle de acesso por posse.</t>
  </si>
  <si>
    <t xml:space="preserve">nivel4-claude-t2</t>
  </si>
  <si>
    <t xml:space="preserve">nivel1-gemini-t1</t>
  </si>
  <si>
    <t xml:space="preserve">Correções manuais</t>
  </si>
  <si>
    <t xml:space="preserve">better-sqlite3 ^9.4.3 precisou subir para ^12.2.0 para instalar; a mesma alteração conta como correção no GPT-OSS (nível 1, t2 e t3). Regra única: qualquer alteração nos arquivos gerados é correção.</t>
  </si>
  <si>
    <t xml:space="preserve">nivel1-gemini-t2</t>
  </si>
  <si>
    <t xml:space="preserve">nivel4-groq-t1</t>
  </si>
  <si>
    <t xml:space="preserve">O db/schema.sql está na resposta (seção '4️⃣ Script de criação do banco'); quem falhou foi o extrator, não o modelo. Mantida a correção do dotenv ausente no package.json.</t>
  </si>
  <si>
    <t xml:space="preserve">em branco</t>
  </si>
  <si>
    <t xml:space="preserve">Nota ausente; atribuída na revisão pela rubrica do Quadro 3: módulos separados (app, db, rotas, middleware), trata 400/401/404/409/500 e valida campos obrigatórios; devolve err.message em erros 500.</t>
  </si>
  <si>
    <t xml:space="preserve">Segurança</t>
  </si>
  <si>
    <t xml:space="preserve">Nota passa a ser a soma dos cinco aspectos do Quadro 4 (0; 0,5; 1 cada), aplicada igualmente às 12 execuções; ver colunas U a Y.</t>
  </si>
  <si>
    <t xml:space="preserve">nivel4-claude-t3</t>
  </si>
  <si>
    <t xml:space="preserve">nivel4-gemini-t1</t>
  </si>
  <si>
    <t xml:space="preserve">nivel4-gemini-t2</t>
  </si>
  <si>
    <t xml:space="preserve">nivel4-gemini-t3</t>
  </si>
  <si>
    <t xml:space="preserve">nivel4-groq-t2</t>
  </si>
  <si>
    <t xml:space="preserve">nivel4-groq-t3</t>
  </si>
  <si>
    <t xml:space="preserve">Também revistos: 'Rodou sem alteração' passa a ser fórmula (S só quando não houve correção), o que muda para N as execuções do GPT-OSS com correção e as duas do Gemini no nível 1; 'Modelo' passa a mostrar o identificador pedido (o Gemini foi chamado pelo alias gemini-pro-latest nas tentativas 1 e 2); 'Arquivo' aponta para os nomes atuais em outputs/. As contagens originais do ESLint ficam na coluna J; as novas (P a R) vêm de analise/eslint.mjs.</t>
  </si>
</sst>
</file>

<file path=xl/styles.xml><?xml version="1.0" encoding="utf-8"?>
<styleSheet xmlns="http://schemas.openxmlformats.org/spreadsheetml/2006/main">
  <numFmts count="4">
    <numFmt numFmtId="164" formatCode="General"/>
    <numFmt numFmtId="165" formatCode="0.00"/>
    <numFmt numFmtId="166" formatCode="0.0"/>
    <numFmt numFmtId="167" formatCode="0"/>
  </numFmts>
  <fonts count="12">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0"/>
      <color rgb="FF555555"/>
      <name val="Arial"/>
      <family val="0"/>
      <charset val="1"/>
    </font>
    <font>
      <b val="true"/>
      <sz val="10"/>
      <color rgb="FFFFFFFF"/>
      <name val="Arial"/>
      <family val="0"/>
      <charset val="1"/>
    </font>
    <font>
      <sz val="10"/>
      <name val="Arial"/>
      <family val="0"/>
      <charset val="1"/>
    </font>
    <font>
      <b val="true"/>
      <sz val="11"/>
      <name val="Arial"/>
      <family val="0"/>
      <charset val="1"/>
    </font>
    <font>
      <b val="true"/>
      <sz val="10"/>
      <color rgb="FFC00000"/>
      <name val="Arial"/>
      <family val="0"/>
      <charset val="1"/>
    </font>
    <font>
      <b val="true"/>
      <sz val="11"/>
      <color rgb="FF1F4E78"/>
      <name val="Arial"/>
      <family val="0"/>
      <charset val="1"/>
    </font>
    <font>
      <b val="true"/>
      <sz val="12"/>
      <name val="Arial"/>
      <family val="0"/>
      <charset val="1"/>
    </font>
  </fonts>
  <fills count="8">
    <fill>
      <patternFill patternType="none"/>
    </fill>
    <fill>
      <patternFill patternType="gray125"/>
    </fill>
    <fill>
      <patternFill patternType="solid">
        <fgColor rgb="FF1F4E78"/>
        <bgColor rgb="FF003366"/>
      </patternFill>
    </fill>
    <fill>
      <patternFill patternType="solid">
        <fgColor rgb="FFFFF2CC"/>
        <bgColor rgb="FFFCE4D6"/>
      </patternFill>
    </fill>
    <fill>
      <patternFill patternType="solid">
        <fgColor rgb="FFF2F2F2"/>
        <bgColor rgb="FFE2EFDA"/>
      </patternFill>
    </fill>
    <fill>
      <patternFill patternType="solid">
        <fgColor rgb="FFE2EFDA"/>
        <bgColor rgb="FFDDEBF7"/>
      </patternFill>
    </fill>
    <fill>
      <patternFill patternType="solid">
        <fgColor rgb="FFDDEBF7"/>
        <bgColor rgb="FFE2EFDA"/>
      </patternFill>
    </fill>
    <fill>
      <patternFill patternType="solid">
        <fgColor rgb="FFFCE4D6"/>
        <bgColor rgb="FFFFF2CC"/>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7" fillId="4" borderId="0" xfId="0" applyFont="true" applyBorder="false" applyAlignment="true" applyProtection="false">
      <alignment horizontal="general" vertical="bottom" textRotation="0" wrapText="false" indent="0" shrinkToFit="false"/>
      <protection locked="true" hidden="false"/>
    </xf>
    <xf numFmtId="164" fontId="7" fillId="5" borderId="0" xfId="0" applyFont="true" applyBorder="false" applyAlignment="true" applyProtection="false">
      <alignment horizontal="general" vertical="bottom" textRotation="0" wrapText="false" indent="0" shrinkToFit="false"/>
      <protection locked="true" hidden="false"/>
    </xf>
    <xf numFmtId="164" fontId="7" fillId="6" borderId="0" xfId="0" applyFont="true" applyBorder="false" applyAlignment="true" applyProtection="false">
      <alignment horizontal="general" vertical="bottom" textRotation="0" wrapText="false" indent="0" shrinkToFit="false"/>
      <protection locked="true" hidden="false"/>
    </xf>
    <xf numFmtId="164" fontId="7" fillId="7"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6" fontId="7" fillId="6" borderId="1" xfId="0" applyFont="true" applyBorder="true" applyAlignment="true" applyProtection="false">
      <alignment horizontal="center" vertical="center" textRotation="0" wrapText="false" indent="0" shrinkToFit="false"/>
      <protection locked="true" hidden="false"/>
    </xf>
    <xf numFmtId="164" fontId="7" fillId="6" borderId="0" xfId="0" applyFont="true" applyBorder="false" applyAlignment="true" applyProtection="false">
      <alignment horizontal="center" vertical="center" textRotation="0" wrapText="false" indent="0" shrinkToFit="false"/>
      <protection locked="true" hidden="false"/>
    </xf>
    <xf numFmtId="164" fontId="7" fillId="6"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center" vertical="center" textRotation="0" wrapText="false" indent="0" shrinkToFit="false"/>
      <protection locked="true" hidden="false"/>
    </xf>
    <xf numFmtId="165" fontId="7" fillId="4" borderId="0" xfId="0" applyFont="true" applyBorder="false" applyAlignment="true" applyProtection="false">
      <alignment horizontal="center" vertical="center" textRotation="0" wrapText="false" indent="0" shrinkToFit="false"/>
      <protection locked="true" hidden="false"/>
    </xf>
    <xf numFmtId="164" fontId="7" fillId="0" borderId="0" xfId="0" applyFont="true" applyBorder="false" applyAlignment="true" applyProtection="false">
      <alignment horizontal="center" vertical="center" textRotation="0" wrapText="false" indent="0" shrinkToFit="false"/>
      <protection locked="true" hidden="false"/>
    </xf>
    <xf numFmtId="166" fontId="7" fillId="4" borderId="0" xfId="0" applyFont="true" applyBorder="false" applyAlignment="true" applyProtection="false">
      <alignment horizontal="center" vertical="center" textRotation="0" wrapText="false" indent="0" shrinkToFit="false"/>
      <protection locked="true" hidden="false"/>
    </xf>
    <xf numFmtId="166" fontId="7" fillId="6" borderId="0" xfId="0" applyFont="true" applyBorder="fals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center" vertical="center"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5" fontId="0" fillId="4" borderId="1" xfId="0" applyFont="false" applyBorder="true" applyAlignment="false" applyProtection="false">
      <alignment horizontal="general" vertical="bottom" textRotation="0" wrapText="false" indent="0" shrinkToFit="false"/>
      <protection locked="true" hidden="false"/>
    </xf>
    <xf numFmtId="167" fontId="0" fillId="4" borderId="1" xfId="0" applyFont="false" applyBorder="tru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CC"/>
      <rgbColor rgb="FFCC99FF"/>
      <rgbColor rgb="FFFCE4D6"/>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10"/>
  </cols>
  <sheetData>
    <row r="1" customFormat="false" ht="17.25" hidden="false" customHeight="true" outlineLevel="0" collapsed="false">
      <c r="A1" s="2" t="s">
        <v>0</v>
      </c>
      <c r="B1" s="2"/>
    </row>
    <row r="2" customFormat="false" ht="15" hidden="false" customHeight="true" outlineLevel="0" collapsed="false">
      <c r="A2" s="3" t="s">
        <v>1</v>
      </c>
      <c r="B2" s="3"/>
    </row>
    <row r="4" customFormat="false" ht="15" hidden="false" customHeight="true" outlineLevel="0" collapsed="false">
      <c r="A4" s="4" t="s">
        <v>2</v>
      </c>
      <c r="B4" s="4" t="s">
        <v>3</v>
      </c>
    </row>
    <row r="5" customFormat="false" ht="33.75" hidden="false" customHeight="true" outlineLevel="0" collapsed="false">
      <c r="A5" s="5" t="s">
        <v>4</v>
      </c>
      <c r="B5" s="5" t="s">
        <v>5</v>
      </c>
    </row>
    <row r="6" customFormat="false" ht="33.75" hidden="false" customHeight="true" outlineLevel="0" collapsed="false">
      <c r="A6" s="5" t="s">
        <v>6</v>
      </c>
      <c r="B6" s="5" t="s">
        <v>7</v>
      </c>
    </row>
    <row r="7" customFormat="false" ht="33.75" hidden="false" customHeight="true" outlineLevel="0" collapsed="false">
      <c r="A7" s="5" t="s">
        <v>8</v>
      </c>
      <c r="B7" s="5" t="s">
        <v>9</v>
      </c>
    </row>
    <row r="8" customFormat="false" ht="33.75" hidden="false" customHeight="true" outlineLevel="0" collapsed="false">
      <c r="A8" s="5" t="s">
        <v>10</v>
      </c>
      <c r="B8" s="5" t="s">
        <v>11</v>
      </c>
    </row>
    <row r="9" customFormat="false" ht="33.75" hidden="false" customHeight="true" outlineLevel="0" collapsed="false">
      <c r="A9" s="5" t="s">
        <v>12</v>
      </c>
      <c r="B9" s="5" t="s">
        <v>13</v>
      </c>
    </row>
    <row r="10" customFormat="false" ht="33.75" hidden="false" customHeight="true" outlineLevel="0" collapsed="false">
      <c r="A10" s="5" t="s">
        <v>14</v>
      </c>
      <c r="B10" s="5" t="s">
        <v>15</v>
      </c>
    </row>
    <row r="11" customFormat="false" ht="33.75" hidden="false" customHeight="true" outlineLevel="0" collapsed="false">
      <c r="A11" s="5" t="s">
        <v>16</v>
      </c>
      <c r="B11" s="5" t="s">
        <v>17</v>
      </c>
    </row>
    <row r="13" customFormat="false" ht="15" hidden="false" customHeight="true" outlineLevel="0" collapsed="false">
      <c r="A13" s="6" t="s">
        <v>18</v>
      </c>
    </row>
    <row r="14" customFormat="false" ht="15" hidden="false" customHeight="true" outlineLevel="0" collapsed="false">
      <c r="A14" s="7" t="s">
        <v>19</v>
      </c>
    </row>
    <row r="15" customFormat="false" ht="15" hidden="false" customHeight="true" outlineLevel="0" collapsed="false">
      <c r="A15" s="8" t="s">
        <v>20</v>
      </c>
    </row>
    <row r="16" customFormat="false" ht="15" hidden="false" customHeight="true" outlineLevel="0" collapsed="false">
      <c r="A16" s="9" t="s">
        <v>21</v>
      </c>
    </row>
    <row r="18" customFormat="false" ht="15" hidden="false" customHeight="true" outlineLevel="0" collapsed="false">
      <c r="A18" s="10" t="s">
        <v>22</v>
      </c>
    </row>
    <row r="19" customFormat="false" ht="15" hidden="false" customHeight="true" outlineLevel="0" collapsed="false">
      <c r="A19" s="11" t="s">
        <v>23</v>
      </c>
    </row>
    <row r="21" customFormat="false" ht="15" hidden="false" customHeight="true" outlineLevel="0" collapsed="false">
      <c r="A21" s="12"/>
    </row>
    <row r="22" customFormat="false" ht="15" hidden="false" customHeight="true" outlineLevel="0" collapsed="false">
      <c r="A22" s="13" t="s">
        <v>24</v>
      </c>
    </row>
    <row r="23" customFormat="false" ht="15" hidden="false" customHeight="true" outlineLevel="0" collapsed="false"/>
    <row r="24" customFormat="false" ht="15" hidden="false" customHeight="true" outlineLevel="0" collapsed="false"/>
  </sheetData>
  <mergeCells count="2">
    <mergeCell ref="A1:B1"/>
    <mergeCell ref="A2:B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7"/>
    <col collapsed="false" customWidth="true" hidden="false" outlineLevel="0" max="2" min="2" style="1" width="26"/>
    <col collapsed="false" customWidth="true" hidden="false" outlineLevel="0" max="3" min="3" style="1" width="10"/>
    <col collapsed="false" customWidth="true" hidden="false" outlineLevel="0" max="4" min="4" style="1" width="16"/>
    <col collapsed="false" customWidth="true" hidden="false" outlineLevel="0" max="5" min="5" style="1" width="9"/>
    <col collapsed="false" customWidth="true" hidden="false" outlineLevel="0" max="6" min="6" style="1" width="13"/>
    <col collapsed="false" customWidth="true" hidden="false" outlineLevel="0" max="8" min="7" style="1" width="15"/>
    <col collapsed="false" customWidth="true" hidden="false" outlineLevel="0" max="9" min="9" style="1" width="13"/>
    <col collapsed="false" customWidth="true" hidden="false" outlineLevel="0" max="10" min="10" style="1" width="18"/>
    <col collapsed="false" customWidth="true" hidden="false" outlineLevel="0" max="11" min="11" style="1" width="14"/>
    <col collapsed="false" customWidth="true" hidden="false" outlineLevel="0" max="12" min="12" style="1" width="12"/>
    <col collapsed="false" customWidth="true" hidden="false" outlineLevel="0" max="13" min="13" style="1" width="34"/>
    <col collapsed="false" customWidth="true" hidden="false" outlineLevel="0" max="14" min="14" style="1" width="46"/>
    <col collapsed="false" customWidth="true" hidden="false" outlineLevel="0" max="15" min="15" style="0" width="14"/>
    <col collapsed="false" customWidth="true" hidden="false" outlineLevel="0" max="16" min="16" style="0" width="11"/>
    <col collapsed="false" customWidth="true" hidden="false" outlineLevel="0" max="17" min="17" style="0" width="12"/>
    <col collapsed="false" customWidth="true" hidden="false" outlineLevel="0" max="18" min="18" style="0" width="11"/>
    <col collapsed="false" customWidth="true" hidden="false" outlineLevel="0" max="19" min="19" style="0" width="10"/>
    <col collapsed="false" customWidth="true" hidden="false" outlineLevel="0" max="20" min="20" style="0" width="16"/>
    <col collapsed="false" customWidth="true" hidden="false" outlineLevel="0" max="24" min="21" style="0" width="11"/>
    <col collapsed="false" customWidth="true" hidden="false" outlineLevel="0" max="25" min="25" style="0" width="12"/>
    <col collapsed="false" customWidth="true" hidden="false" outlineLevel="0" max="26" min="26" style="0" width="60"/>
  </cols>
  <sheetData>
    <row r="1" customFormat="false" ht="17.25" hidden="false" customHeight="true" outlineLevel="0" collapsed="false">
      <c r="A1" s="2" t="s">
        <v>25</v>
      </c>
      <c r="B1" s="2"/>
      <c r="C1" s="2"/>
      <c r="D1" s="2"/>
      <c r="E1" s="2"/>
      <c r="F1" s="2"/>
      <c r="G1" s="2"/>
      <c r="H1" s="2"/>
      <c r="I1" s="2"/>
      <c r="J1" s="2"/>
      <c r="K1" s="2"/>
      <c r="L1" s="2"/>
      <c r="M1" s="2"/>
      <c r="N1" s="2"/>
      <c r="O1" s="2"/>
      <c r="P1" s="2"/>
      <c r="Q1" s="2"/>
      <c r="R1" s="2"/>
      <c r="S1" s="2"/>
      <c r="T1" s="2"/>
      <c r="U1" s="2"/>
      <c r="V1" s="2"/>
      <c r="W1" s="2"/>
      <c r="X1" s="2"/>
      <c r="Y1" s="2"/>
      <c r="Z1" s="2"/>
    </row>
    <row r="2" customFormat="false" ht="23.25" hidden="false" customHeight="true" outlineLevel="0" collapsed="false">
      <c r="A2" s="14" t="s">
        <v>26</v>
      </c>
      <c r="B2" s="14" t="s">
        <v>27</v>
      </c>
      <c r="C2" s="14" t="s">
        <v>28</v>
      </c>
      <c r="D2" s="14" t="s">
        <v>29</v>
      </c>
      <c r="E2" s="14" t="s">
        <v>30</v>
      </c>
      <c r="F2" s="14" t="s">
        <v>31</v>
      </c>
      <c r="G2" s="14" t="s">
        <v>4</v>
      </c>
      <c r="H2" s="14" t="s">
        <v>32</v>
      </c>
      <c r="I2" s="14" t="s">
        <v>8</v>
      </c>
      <c r="J2" s="14" t="s">
        <v>33</v>
      </c>
      <c r="K2" s="14" t="s">
        <v>34</v>
      </c>
      <c r="L2" s="14" t="s">
        <v>35</v>
      </c>
      <c r="M2" s="14" t="s">
        <v>16</v>
      </c>
      <c r="N2" s="14" t="s">
        <v>36</v>
      </c>
      <c r="O2" s="14" t="s">
        <v>37</v>
      </c>
      <c r="P2" s="14" t="s">
        <v>38</v>
      </c>
      <c r="Q2" s="14" t="s">
        <v>39</v>
      </c>
      <c r="R2" s="14" t="s">
        <v>40</v>
      </c>
      <c r="S2" s="14" t="s">
        <v>41</v>
      </c>
      <c r="T2" s="14" t="s">
        <v>42</v>
      </c>
      <c r="U2" s="14" t="s">
        <v>43</v>
      </c>
      <c r="V2" s="14" t="s">
        <v>44</v>
      </c>
      <c r="W2" s="14" t="s">
        <v>45</v>
      </c>
      <c r="X2" s="14" t="s">
        <v>46</v>
      </c>
      <c r="Y2" s="14" t="s">
        <v>47</v>
      </c>
      <c r="Z2" s="14" t="s">
        <v>48</v>
      </c>
    </row>
    <row r="3" customFormat="false" ht="15" hidden="false" customHeight="true" outlineLevel="0" collapsed="false">
      <c r="A3" s="15" t="n">
        <v>0</v>
      </c>
      <c r="B3" s="16" t="s">
        <v>49</v>
      </c>
      <c r="C3" s="16" t="s">
        <v>50</v>
      </c>
      <c r="D3" s="16" t="s">
        <v>51</v>
      </c>
      <c r="E3" s="15" t="n">
        <v>1</v>
      </c>
      <c r="F3" s="17" t="n">
        <v>6949</v>
      </c>
      <c r="G3" s="18" t="str">
        <f aca="false">IF(H3=0,"S","N")</f>
        <v>S</v>
      </c>
      <c r="H3" s="18" t="n">
        <v>0</v>
      </c>
      <c r="I3" s="18" t="n">
        <v>5</v>
      </c>
      <c r="J3" s="18" t="n">
        <v>0</v>
      </c>
      <c r="K3" s="18" t="n">
        <v>5</v>
      </c>
      <c r="L3" s="19"/>
      <c r="M3" s="20" t="s">
        <v>52</v>
      </c>
      <c r="N3" s="16" t="s">
        <v>53</v>
      </c>
      <c r="O3" s="17" t="n">
        <v>6949</v>
      </c>
      <c r="P3" s="17" t="n">
        <v>101</v>
      </c>
      <c r="Q3" s="17" t="n">
        <v>0</v>
      </c>
      <c r="R3" s="21" t="n">
        <f aca="false">IF(P3&gt;0,Q3/P3*100,"")</f>
        <v>0</v>
      </c>
      <c r="S3" s="17" t="n">
        <v>3547</v>
      </c>
      <c r="T3" s="17" t="s">
        <v>54</v>
      </c>
      <c r="U3" s="15"/>
      <c r="V3" s="15"/>
      <c r="W3" s="15"/>
      <c r="X3" s="15"/>
      <c r="Y3" s="15"/>
      <c r="Z3" s="20"/>
    </row>
    <row r="4" customFormat="false" ht="15" hidden="false" customHeight="true" outlineLevel="0" collapsed="false">
      <c r="A4" s="15" t="n">
        <v>0</v>
      </c>
      <c r="B4" s="16" t="s">
        <v>49</v>
      </c>
      <c r="C4" s="16" t="s">
        <v>50</v>
      </c>
      <c r="D4" s="16" t="s">
        <v>51</v>
      </c>
      <c r="E4" s="15" t="n">
        <v>2</v>
      </c>
      <c r="F4" s="17" t="n">
        <v>7308</v>
      </c>
      <c r="G4" s="18" t="str">
        <f aca="false">IF(H4=0,"S","N")</f>
        <v>S</v>
      </c>
      <c r="H4" s="18" t="n">
        <v>0</v>
      </c>
      <c r="I4" s="18" t="n">
        <v>5</v>
      </c>
      <c r="J4" s="18" t="n">
        <v>0</v>
      </c>
      <c r="K4" s="18" t="n">
        <v>5</v>
      </c>
      <c r="L4" s="19"/>
      <c r="M4" s="20" t="s">
        <v>55</v>
      </c>
      <c r="N4" s="16" t="s">
        <v>56</v>
      </c>
      <c r="O4" s="17" t="n">
        <v>7308</v>
      </c>
      <c r="P4" s="17" t="n">
        <v>104</v>
      </c>
      <c r="Q4" s="17" t="n">
        <v>0</v>
      </c>
      <c r="R4" s="21" t="n">
        <f aca="false">IF(P4&gt;0,Q4/P4*100,"")</f>
        <v>0</v>
      </c>
      <c r="S4" s="17" t="n">
        <v>3692</v>
      </c>
      <c r="T4" s="17" t="s">
        <v>54</v>
      </c>
      <c r="U4" s="15"/>
      <c r="V4" s="15"/>
      <c r="W4" s="15"/>
      <c r="X4" s="15"/>
      <c r="Y4" s="15"/>
      <c r="Z4" s="20"/>
    </row>
    <row r="5" customFormat="false" ht="15" hidden="false" customHeight="true" outlineLevel="0" collapsed="false">
      <c r="A5" s="15" t="n">
        <v>0</v>
      </c>
      <c r="B5" s="16" t="s">
        <v>49</v>
      </c>
      <c r="C5" s="16" t="s">
        <v>57</v>
      </c>
      <c r="D5" s="16" t="s">
        <v>58</v>
      </c>
      <c r="E5" s="15" t="n">
        <v>1</v>
      </c>
      <c r="F5" s="17" t="n">
        <v>3794</v>
      </c>
      <c r="G5" s="18" t="str">
        <f aca="false">IF(H5=0,"S","N")</f>
        <v>S</v>
      </c>
      <c r="H5" s="18" t="n">
        <v>0</v>
      </c>
      <c r="I5" s="18" t="n">
        <v>5</v>
      </c>
      <c r="J5" s="18" t="n">
        <v>0</v>
      </c>
      <c r="K5" s="18" t="n">
        <v>5</v>
      </c>
      <c r="L5" s="19"/>
      <c r="M5" s="20" t="s">
        <v>59</v>
      </c>
      <c r="N5" s="16" t="s">
        <v>60</v>
      </c>
      <c r="O5" s="17" t="n">
        <v>3794</v>
      </c>
      <c r="P5" s="17" t="n">
        <v>80</v>
      </c>
      <c r="Q5" s="17" t="n">
        <v>0</v>
      </c>
      <c r="R5" s="21" t="n">
        <f aca="false">IF(P5&gt;0,Q5/P5*100,"")</f>
        <v>0</v>
      </c>
      <c r="S5" s="17" t="n">
        <v>1502</v>
      </c>
      <c r="T5" s="17" t="s">
        <v>54</v>
      </c>
      <c r="U5" s="15"/>
      <c r="V5" s="15"/>
      <c r="W5" s="15"/>
      <c r="X5" s="15"/>
      <c r="Y5" s="15"/>
      <c r="Z5" s="20"/>
    </row>
    <row r="6" customFormat="false" ht="15" hidden="false" customHeight="true" outlineLevel="0" collapsed="false">
      <c r="A6" s="15" t="n">
        <v>0</v>
      </c>
      <c r="B6" s="16" t="s">
        <v>49</v>
      </c>
      <c r="C6" s="16" t="s">
        <v>57</v>
      </c>
      <c r="D6" s="16" t="s">
        <v>58</v>
      </c>
      <c r="E6" s="15" t="n">
        <v>2</v>
      </c>
      <c r="F6" s="17" t="n">
        <v>5011</v>
      </c>
      <c r="G6" s="18" t="str">
        <f aca="false">IF(H6=0,"S","N")</f>
        <v>S</v>
      </c>
      <c r="H6" s="18" t="n">
        <v>0</v>
      </c>
      <c r="I6" s="18" t="n">
        <v>5</v>
      </c>
      <c r="J6" s="18" t="n">
        <v>0</v>
      </c>
      <c r="K6" s="18" t="n">
        <v>5</v>
      </c>
      <c r="L6" s="19"/>
      <c r="M6" s="20" t="s">
        <v>61</v>
      </c>
      <c r="N6" s="16" t="s">
        <v>62</v>
      </c>
      <c r="O6" s="17" t="n">
        <v>5011</v>
      </c>
      <c r="P6" s="17" t="n">
        <v>104</v>
      </c>
      <c r="Q6" s="17" t="n">
        <v>0</v>
      </c>
      <c r="R6" s="21" t="n">
        <f aca="false">IF(P6&gt;0,Q6/P6*100,"")</f>
        <v>0</v>
      </c>
      <c r="S6" s="17" t="n">
        <v>1826</v>
      </c>
      <c r="T6" s="17" t="s">
        <v>54</v>
      </c>
      <c r="U6" s="15"/>
      <c r="V6" s="15"/>
      <c r="W6" s="15"/>
      <c r="X6" s="15"/>
      <c r="Y6" s="15"/>
      <c r="Z6" s="20"/>
    </row>
    <row r="7" customFormat="false" ht="15" hidden="false" customHeight="true" outlineLevel="0" collapsed="false">
      <c r="A7" s="15" t="n">
        <v>0</v>
      </c>
      <c r="B7" s="16" t="s">
        <v>49</v>
      </c>
      <c r="C7" s="16" t="s">
        <v>63</v>
      </c>
      <c r="D7" s="16" t="s">
        <v>64</v>
      </c>
      <c r="E7" s="15" t="n">
        <v>1</v>
      </c>
      <c r="F7" s="17" t="n">
        <v>3887</v>
      </c>
      <c r="G7" s="18" t="str">
        <f aca="false">IF(H7=0,"S","N")</f>
        <v>S</v>
      </c>
      <c r="H7" s="18" t="n">
        <v>0</v>
      </c>
      <c r="I7" s="18" t="n">
        <v>5</v>
      </c>
      <c r="J7" s="18" t="n">
        <v>0</v>
      </c>
      <c r="K7" s="18" t="n">
        <v>5</v>
      </c>
      <c r="L7" s="19"/>
      <c r="M7" s="20" t="s">
        <v>65</v>
      </c>
      <c r="N7" s="16" t="s">
        <v>66</v>
      </c>
      <c r="O7" s="17" t="n">
        <v>3887</v>
      </c>
      <c r="P7" s="17" t="n">
        <v>42</v>
      </c>
      <c r="Q7" s="17" t="n">
        <v>0</v>
      </c>
      <c r="R7" s="21" t="n">
        <f aca="false">IF(P7&gt;0,Q7/P7*100,"")</f>
        <v>0</v>
      </c>
      <c r="S7" s="17" t="n">
        <v>1801</v>
      </c>
      <c r="T7" s="17" t="n">
        <v>0.2</v>
      </c>
      <c r="U7" s="15"/>
      <c r="V7" s="15"/>
      <c r="W7" s="15"/>
      <c r="X7" s="15"/>
      <c r="Y7" s="15"/>
      <c r="Z7" s="20" t="s">
        <v>67</v>
      </c>
    </row>
    <row r="8" customFormat="false" ht="15" hidden="false" customHeight="true" outlineLevel="0" collapsed="false">
      <c r="A8" s="15" t="n">
        <v>0</v>
      </c>
      <c r="B8" s="16" t="s">
        <v>49</v>
      </c>
      <c r="C8" s="16" t="s">
        <v>63</v>
      </c>
      <c r="D8" s="16" t="s">
        <v>64</v>
      </c>
      <c r="E8" s="15" t="n">
        <v>2</v>
      </c>
      <c r="F8" s="17" t="n">
        <v>4038</v>
      </c>
      <c r="G8" s="18" t="str">
        <f aca="false">IF(H8=0,"S","N")</f>
        <v>S</v>
      </c>
      <c r="H8" s="18" t="n">
        <v>0</v>
      </c>
      <c r="I8" s="18" t="n">
        <v>5</v>
      </c>
      <c r="J8" s="18" t="n">
        <v>0</v>
      </c>
      <c r="K8" s="18" t="n">
        <v>5</v>
      </c>
      <c r="L8" s="19"/>
      <c r="M8" s="20" t="s">
        <v>68</v>
      </c>
      <c r="N8" s="16" t="s">
        <v>69</v>
      </c>
      <c r="O8" s="17" t="n">
        <v>4038</v>
      </c>
      <c r="P8" s="17" t="n">
        <v>44</v>
      </c>
      <c r="Q8" s="17" t="n">
        <v>0</v>
      </c>
      <c r="R8" s="21" t="n">
        <f aca="false">IF(P8&gt;0,Q8/P8*100,"")</f>
        <v>0</v>
      </c>
      <c r="S8" s="17" t="n">
        <v>2120</v>
      </c>
      <c r="T8" s="17" t="n">
        <v>0.2</v>
      </c>
      <c r="U8" s="15"/>
      <c r="V8" s="15"/>
      <c r="W8" s="15"/>
      <c r="X8" s="15"/>
      <c r="Y8" s="15"/>
      <c r="Z8" s="20" t="s">
        <v>70</v>
      </c>
    </row>
    <row r="9" customFormat="false" ht="15" hidden="false" customHeight="true" outlineLevel="0" collapsed="false">
      <c r="A9" s="15" t="n">
        <v>1</v>
      </c>
      <c r="B9" s="16" t="s">
        <v>71</v>
      </c>
      <c r="C9" s="16" t="s">
        <v>50</v>
      </c>
      <c r="D9" s="16" t="s">
        <v>51</v>
      </c>
      <c r="E9" s="15" t="n">
        <v>1</v>
      </c>
      <c r="F9" s="17" t="n">
        <v>2976</v>
      </c>
      <c r="G9" s="18" t="str">
        <f aca="false">IF(H9=0,"S","N")</f>
        <v>S</v>
      </c>
      <c r="H9" s="18" t="n">
        <v>0</v>
      </c>
      <c r="I9" s="18" t="n">
        <v>5</v>
      </c>
      <c r="J9" s="18" t="n">
        <v>0</v>
      </c>
      <c r="K9" s="18" t="n">
        <v>5</v>
      </c>
      <c r="L9" s="19"/>
      <c r="M9" s="20" t="s">
        <v>72</v>
      </c>
      <c r="N9" s="16" t="s">
        <v>73</v>
      </c>
      <c r="O9" s="17" t="n">
        <v>15652</v>
      </c>
      <c r="P9" s="17" t="n">
        <v>310</v>
      </c>
      <c r="Q9" s="17" t="n">
        <v>0</v>
      </c>
      <c r="R9" s="21" t="n">
        <f aca="false">IF(P9&gt;0,Q9/P9*100,"")</f>
        <v>0</v>
      </c>
      <c r="S9" s="17" t="n">
        <v>7421</v>
      </c>
      <c r="T9" s="17" t="s">
        <v>54</v>
      </c>
      <c r="U9" s="15"/>
      <c r="V9" s="15"/>
      <c r="W9" s="15"/>
      <c r="X9" s="15"/>
      <c r="Y9" s="15"/>
      <c r="Z9" s="20"/>
    </row>
    <row r="10" customFormat="false" ht="15" hidden="false" customHeight="true" outlineLevel="0" collapsed="false">
      <c r="A10" s="15" t="n">
        <v>1</v>
      </c>
      <c r="B10" s="16" t="s">
        <v>71</v>
      </c>
      <c r="C10" s="16" t="s">
        <v>50</v>
      </c>
      <c r="D10" s="16" t="s">
        <v>51</v>
      </c>
      <c r="E10" s="15" t="n">
        <v>2</v>
      </c>
      <c r="F10" s="17" t="n">
        <v>2298</v>
      </c>
      <c r="G10" s="18" t="str">
        <f aca="false">IF(H10=0,"S","N")</f>
        <v>S</v>
      </c>
      <c r="H10" s="18" t="n">
        <v>0</v>
      </c>
      <c r="I10" s="18" t="n">
        <v>5</v>
      </c>
      <c r="J10" s="18" t="n">
        <v>0</v>
      </c>
      <c r="K10" s="18" t="n">
        <v>5</v>
      </c>
      <c r="L10" s="19"/>
      <c r="M10" s="20" t="s">
        <v>74</v>
      </c>
      <c r="N10" s="16" t="s">
        <v>75</v>
      </c>
      <c r="O10" s="17" t="n">
        <v>18120</v>
      </c>
      <c r="P10" s="17" t="n">
        <v>412</v>
      </c>
      <c r="Q10" s="17" t="n">
        <v>0</v>
      </c>
      <c r="R10" s="21" t="n">
        <f aca="false">IF(P10&gt;0,Q10/P10*100,"")</f>
        <v>0</v>
      </c>
      <c r="S10" s="17" t="n">
        <v>8660</v>
      </c>
      <c r="T10" s="17" t="s">
        <v>54</v>
      </c>
      <c r="U10" s="15"/>
      <c r="V10" s="15"/>
      <c r="W10" s="15"/>
      <c r="X10" s="15"/>
      <c r="Y10" s="15"/>
      <c r="Z10" s="20"/>
    </row>
    <row r="11" customFormat="false" ht="15" hidden="false" customHeight="true" outlineLevel="0" collapsed="false">
      <c r="A11" s="15" t="n">
        <v>1</v>
      </c>
      <c r="B11" s="16" t="s">
        <v>71</v>
      </c>
      <c r="C11" s="16" t="s">
        <v>57</v>
      </c>
      <c r="D11" s="16" t="s">
        <v>58</v>
      </c>
      <c r="E11" s="15" t="n">
        <v>1</v>
      </c>
      <c r="F11" s="17" t="n">
        <v>20478</v>
      </c>
      <c r="G11" s="18" t="str">
        <f aca="false">IF(H11=0,"S","N")</f>
        <v>S</v>
      </c>
      <c r="H11" s="18" t="n">
        <v>0</v>
      </c>
      <c r="I11" s="18" t="n">
        <v>5</v>
      </c>
      <c r="J11" s="18" t="n">
        <v>0</v>
      </c>
      <c r="K11" s="18" t="n">
        <v>5</v>
      </c>
      <c r="L11" s="19"/>
      <c r="M11" s="20" t="s">
        <v>76</v>
      </c>
      <c r="N11" s="16" t="s">
        <v>77</v>
      </c>
      <c r="O11" s="17" t="n">
        <v>20478</v>
      </c>
      <c r="P11" s="17" t="n">
        <v>572</v>
      </c>
      <c r="Q11" s="17" t="n">
        <v>0</v>
      </c>
      <c r="R11" s="21" t="n">
        <f aca="false">IF(P11&gt;0,Q11/P11*100,"")</f>
        <v>0</v>
      </c>
      <c r="S11" s="17" t="n">
        <v>6899</v>
      </c>
      <c r="T11" s="17" t="s">
        <v>54</v>
      </c>
      <c r="U11" s="15"/>
      <c r="V11" s="15"/>
      <c r="W11" s="15"/>
      <c r="X11" s="15"/>
      <c r="Y11" s="15"/>
      <c r="Z11" s="20"/>
    </row>
    <row r="12" customFormat="false" ht="15" hidden="false" customHeight="true" outlineLevel="0" collapsed="false">
      <c r="A12" s="15" t="n">
        <v>1</v>
      </c>
      <c r="B12" s="16" t="s">
        <v>71</v>
      </c>
      <c r="C12" s="16" t="s">
        <v>57</v>
      </c>
      <c r="D12" s="16" t="s">
        <v>58</v>
      </c>
      <c r="E12" s="15" t="n">
        <v>2</v>
      </c>
      <c r="F12" s="17" t="n">
        <v>19878</v>
      </c>
      <c r="G12" s="18" t="str">
        <f aca="false">IF(H12=0,"S","N")</f>
        <v>S</v>
      </c>
      <c r="H12" s="18" t="n">
        <v>0</v>
      </c>
      <c r="I12" s="18" t="n">
        <v>5</v>
      </c>
      <c r="J12" s="18" t="n">
        <v>0</v>
      </c>
      <c r="K12" s="18" t="n">
        <v>5</v>
      </c>
      <c r="L12" s="19"/>
      <c r="M12" s="20" t="s">
        <v>78</v>
      </c>
      <c r="N12" s="16" t="s">
        <v>79</v>
      </c>
      <c r="O12" s="17" t="n">
        <v>19878</v>
      </c>
      <c r="P12" s="17" t="n">
        <v>514</v>
      </c>
      <c r="Q12" s="17" t="n">
        <v>0</v>
      </c>
      <c r="R12" s="21" t="n">
        <f aca="false">IF(P12&gt;0,Q12/P12*100,"")</f>
        <v>0</v>
      </c>
      <c r="S12" s="17" t="n">
        <v>6264</v>
      </c>
      <c r="T12" s="17" t="s">
        <v>54</v>
      </c>
      <c r="U12" s="15"/>
      <c r="V12" s="15"/>
      <c r="W12" s="15"/>
      <c r="X12" s="15"/>
      <c r="Y12" s="15"/>
      <c r="Z12" s="20"/>
    </row>
    <row r="13" customFormat="false" ht="15" hidden="false" customHeight="true" outlineLevel="0" collapsed="false">
      <c r="A13" s="15" t="n">
        <v>1</v>
      </c>
      <c r="B13" s="16" t="s">
        <v>71</v>
      </c>
      <c r="C13" s="16" t="s">
        <v>63</v>
      </c>
      <c r="D13" s="16" t="s">
        <v>64</v>
      </c>
      <c r="E13" s="15" t="n">
        <v>1</v>
      </c>
      <c r="F13" s="17" t="n">
        <v>7882</v>
      </c>
      <c r="G13" s="18" t="str">
        <f aca="false">IF(H13=0,"S","N")</f>
        <v>N</v>
      </c>
      <c r="H13" s="18" t="n">
        <v>1</v>
      </c>
      <c r="I13" s="18" t="n">
        <v>5</v>
      </c>
      <c r="J13" s="18" t="n">
        <v>0</v>
      </c>
      <c r="K13" s="18" t="n">
        <v>4</v>
      </c>
      <c r="L13" s="19"/>
      <c r="M13" s="20" t="s">
        <v>80</v>
      </c>
      <c r="N13" s="16" t="s">
        <v>81</v>
      </c>
      <c r="O13" s="17" t="n">
        <v>7882</v>
      </c>
      <c r="P13" s="17" t="n">
        <v>169</v>
      </c>
      <c r="Q13" s="17" t="n">
        <v>0</v>
      </c>
      <c r="R13" s="21" t="n">
        <f aca="false">IF(P13&gt;0,Q13/P13*100,"")</f>
        <v>0</v>
      </c>
      <c r="S13" s="17" t="n">
        <v>3981</v>
      </c>
      <c r="T13" s="17" t="n">
        <v>0.2</v>
      </c>
      <c r="U13" s="15"/>
      <c r="V13" s="15"/>
      <c r="W13" s="15"/>
      <c r="X13" s="15"/>
      <c r="Y13" s="15"/>
      <c r="Z13" s="20" t="s">
        <v>82</v>
      </c>
    </row>
    <row r="14" customFormat="false" ht="15" hidden="false" customHeight="true" outlineLevel="0" collapsed="false">
      <c r="A14" s="15" t="n">
        <v>1</v>
      </c>
      <c r="B14" s="16" t="s">
        <v>71</v>
      </c>
      <c r="C14" s="16" t="s">
        <v>63</v>
      </c>
      <c r="D14" s="16" t="s">
        <v>64</v>
      </c>
      <c r="E14" s="15" t="n">
        <v>2</v>
      </c>
      <c r="F14" s="17" t="n">
        <v>6325</v>
      </c>
      <c r="G14" s="18" t="str">
        <f aca="false">IF(H14=0,"S","N")</f>
        <v>N</v>
      </c>
      <c r="H14" s="18" t="n">
        <v>1</v>
      </c>
      <c r="I14" s="18" t="n">
        <v>5</v>
      </c>
      <c r="J14" s="18" t="n">
        <v>0</v>
      </c>
      <c r="K14" s="18" t="n">
        <v>4</v>
      </c>
      <c r="L14" s="19"/>
      <c r="M14" s="20" t="s">
        <v>83</v>
      </c>
      <c r="N14" s="16" t="s">
        <v>84</v>
      </c>
      <c r="O14" s="17" t="n">
        <v>6325</v>
      </c>
      <c r="P14" s="17" t="n">
        <v>135</v>
      </c>
      <c r="Q14" s="17" t="n">
        <v>0</v>
      </c>
      <c r="R14" s="21" t="n">
        <f aca="false">IF(P14&gt;0,Q14/P14*100,"")</f>
        <v>0</v>
      </c>
      <c r="S14" s="17" t="n">
        <v>3438</v>
      </c>
      <c r="T14" s="17" t="n">
        <v>0.2</v>
      </c>
      <c r="U14" s="15"/>
      <c r="V14" s="15"/>
      <c r="W14" s="15"/>
      <c r="X14" s="15"/>
      <c r="Y14" s="15"/>
      <c r="Z14" s="20" t="s">
        <v>82</v>
      </c>
    </row>
    <row r="15" customFormat="false" ht="15" hidden="false" customHeight="true" outlineLevel="0" collapsed="false">
      <c r="A15" s="15" t="n">
        <v>2</v>
      </c>
      <c r="B15" s="16" t="s">
        <v>85</v>
      </c>
      <c r="C15" s="16" t="s">
        <v>50</v>
      </c>
      <c r="D15" s="16" t="s">
        <v>51</v>
      </c>
      <c r="E15" s="15" t="n">
        <v>1</v>
      </c>
      <c r="F15" s="17" t="n">
        <v>3560</v>
      </c>
      <c r="G15" s="18" t="str">
        <f aca="false">IF(H15=0,"S","N")</f>
        <v>S</v>
      </c>
      <c r="H15" s="18" t="n">
        <v>0</v>
      </c>
      <c r="I15" s="18" t="n">
        <v>5</v>
      </c>
      <c r="J15" s="18" t="n">
        <v>1</v>
      </c>
      <c r="K15" s="18" t="n">
        <v>5</v>
      </c>
      <c r="L15" s="19"/>
      <c r="M15" s="20" t="s">
        <v>86</v>
      </c>
      <c r="N15" s="16" t="s">
        <v>87</v>
      </c>
      <c r="O15" s="17" t="n">
        <v>7623</v>
      </c>
      <c r="P15" s="17" t="n">
        <v>193</v>
      </c>
      <c r="Q15" s="17" t="n">
        <v>0</v>
      </c>
      <c r="R15" s="21" t="n">
        <f aca="false">IF(P15&gt;0,Q15/P15*100,"")</f>
        <v>0</v>
      </c>
      <c r="S15" s="17" t="s">
        <v>88</v>
      </c>
      <c r="T15" s="17" t="s">
        <v>54</v>
      </c>
      <c r="U15" s="15"/>
      <c r="V15" s="15"/>
      <c r="W15" s="15"/>
      <c r="X15" s="15"/>
      <c r="Y15" s="15"/>
      <c r="Z15" s="20"/>
    </row>
    <row r="16" customFormat="false" ht="15" hidden="false" customHeight="true" outlineLevel="0" collapsed="false">
      <c r="A16" s="15" t="n">
        <v>2</v>
      </c>
      <c r="B16" s="16" t="s">
        <v>85</v>
      </c>
      <c r="C16" s="16" t="s">
        <v>50</v>
      </c>
      <c r="D16" s="16" t="s">
        <v>51</v>
      </c>
      <c r="E16" s="15" t="n">
        <v>2</v>
      </c>
      <c r="F16" s="17" t="n">
        <v>7792</v>
      </c>
      <c r="G16" s="18" t="str">
        <f aca="false">IF(H16=0,"S","N")</f>
        <v>S</v>
      </c>
      <c r="H16" s="18" t="n">
        <v>0</v>
      </c>
      <c r="I16" s="18" t="n">
        <v>5</v>
      </c>
      <c r="J16" s="18" t="n">
        <v>1</v>
      </c>
      <c r="K16" s="18" t="n">
        <v>5</v>
      </c>
      <c r="L16" s="19"/>
      <c r="M16" s="20" t="s">
        <v>89</v>
      </c>
      <c r="N16" s="16" t="s">
        <v>90</v>
      </c>
      <c r="O16" s="17" t="n">
        <v>8289</v>
      </c>
      <c r="P16" s="17" t="n">
        <v>220</v>
      </c>
      <c r="Q16" s="17" t="n">
        <v>0</v>
      </c>
      <c r="R16" s="21" t="n">
        <f aca="false">IF(P16&gt;0,Q16/P16*100,"")</f>
        <v>0</v>
      </c>
      <c r="S16" s="17" t="s">
        <v>88</v>
      </c>
      <c r="T16" s="17" t="s">
        <v>54</v>
      </c>
      <c r="U16" s="15"/>
      <c r="V16" s="15"/>
      <c r="W16" s="15"/>
      <c r="X16" s="15"/>
      <c r="Y16" s="15"/>
      <c r="Z16" s="20"/>
    </row>
    <row r="17" customFormat="false" ht="15" hidden="false" customHeight="true" outlineLevel="0" collapsed="false">
      <c r="A17" s="15" t="n">
        <v>2</v>
      </c>
      <c r="B17" s="16" t="s">
        <v>85</v>
      </c>
      <c r="C17" s="16" t="s">
        <v>57</v>
      </c>
      <c r="D17" s="16" t="s">
        <v>58</v>
      </c>
      <c r="E17" s="15" t="n">
        <v>1</v>
      </c>
      <c r="F17" s="17" t="n">
        <v>14985</v>
      </c>
      <c r="G17" s="18" t="str">
        <f aca="false">IF(H17=0,"S","N")</f>
        <v>S</v>
      </c>
      <c r="H17" s="18" t="n">
        <v>0</v>
      </c>
      <c r="I17" s="18" t="n">
        <v>5</v>
      </c>
      <c r="J17" s="18" t="n">
        <v>0</v>
      </c>
      <c r="K17" s="18" t="n">
        <v>4</v>
      </c>
      <c r="L17" s="19"/>
      <c r="M17" s="20" t="s">
        <v>91</v>
      </c>
      <c r="N17" s="16" t="s">
        <v>92</v>
      </c>
      <c r="O17" s="17" t="n">
        <v>14985</v>
      </c>
      <c r="P17" s="17" t="n">
        <v>389</v>
      </c>
      <c r="Q17" s="17" t="n">
        <v>0</v>
      </c>
      <c r="R17" s="21" t="n">
        <f aca="false">IF(P17&gt;0,Q17/P17*100,"")</f>
        <v>0</v>
      </c>
      <c r="S17" s="17" t="n">
        <v>5019</v>
      </c>
      <c r="T17" s="17" t="s">
        <v>54</v>
      </c>
      <c r="U17" s="15"/>
      <c r="V17" s="15"/>
      <c r="W17" s="15"/>
      <c r="X17" s="15"/>
      <c r="Y17" s="15"/>
      <c r="Z17" s="20"/>
    </row>
    <row r="18" customFormat="false" ht="15" hidden="false" customHeight="true" outlineLevel="0" collapsed="false">
      <c r="A18" s="15" t="n">
        <v>2</v>
      </c>
      <c r="B18" s="16" t="s">
        <v>85</v>
      </c>
      <c r="C18" s="16" t="s">
        <v>57</v>
      </c>
      <c r="D18" s="16" t="s">
        <v>58</v>
      </c>
      <c r="E18" s="15" t="n">
        <v>2</v>
      </c>
      <c r="F18" s="17" t="n">
        <v>17522</v>
      </c>
      <c r="G18" s="18" t="str">
        <f aca="false">IF(H18=0,"S","N")</f>
        <v>S</v>
      </c>
      <c r="H18" s="18" t="n">
        <v>0</v>
      </c>
      <c r="I18" s="18" t="n">
        <v>5</v>
      </c>
      <c r="J18" s="18" t="n">
        <v>1</v>
      </c>
      <c r="K18" s="18" t="n">
        <v>5</v>
      </c>
      <c r="L18" s="19"/>
      <c r="M18" s="20" t="s">
        <v>93</v>
      </c>
      <c r="N18" s="16" t="s">
        <v>94</v>
      </c>
      <c r="O18" s="17" t="n">
        <v>17522</v>
      </c>
      <c r="P18" s="17" t="n">
        <v>486</v>
      </c>
      <c r="Q18" s="17" t="n">
        <v>0</v>
      </c>
      <c r="R18" s="21" t="n">
        <f aca="false">IF(P18&gt;0,Q18/P18*100,"")</f>
        <v>0</v>
      </c>
      <c r="S18" s="17" t="n">
        <v>5584</v>
      </c>
      <c r="T18" s="17" t="s">
        <v>54</v>
      </c>
      <c r="U18" s="15"/>
      <c r="V18" s="15"/>
      <c r="W18" s="15"/>
      <c r="X18" s="15"/>
      <c r="Y18" s="15"/>
      <c r="Z18" s="20"/>
    </row>
    <row r="19" customFormat="false" ht="15" hidden="false" customHeight="true" outlineLevel="0" collapsed="false">
      <c r="A19" s="15" t="n">
        <v>2</v>
      </c>
      <c r="B19" s="16" t="s">
        <v>85</v>
      </c>
      <c r="C19" s="16" t="s">
        <v>63</v>
      </c>
      <c r="D19" s="16" t="s">
        <v>64</v>
      </c>
      <c r="E19" s="15" t="n">
        <v>1</v>
      </c>
      <c r="F19" s="17" t="n">
        <v>6098</v>
      </c>
      <c r="G19" s="18" t="str">
        <f aca="false">IF(H19=0,"S","N")</f>
        <v>S</v>
      </c>
      <c r="H19" s="18" t="n">
        <v>0</v>
      </c>
      <c r="I19" s="18" t="n">
        <v>5</v>
      </c>
      <c r="J19" s="18" t="n">
        <v>0</v>
      </c>
      <c r="K19" s="18" t="n">
        <v>3</v>
      </c>
      <c r="L19" s="19"/>
      <c r="M19" s="20" t="s">
        <v>95</v>
      </c>
      <c r="N19" s="16" t="s">
        <v>96</v>
      </c>
      <c r="O19" s="17" t="n">
        <v>6098</v>
      </c>
      <c r="P19" s="17" t="n">
        <v>130</v>
      </c>
      <c r="Q19" s="17" t="n">
        <v>0</v>
      </c>
      <c r="R19" s="21" t="n">
        <f aca="false">IF(P19&gt;0,Q19/P19*100,"")</f>
        <v>0</v>
      </c>
      <c r="S19" s="17" t="n">
        <v>3169</v>
      </c>
      <c r="T19" s="17" t="n">
        <v>0.2</v>
      </c>
      <c r="U19" s="15"/>
      <c r="V19" s="15"/>
      <c r="W19" s="15"/>
      <c r="X19" s="15"/>
      <c r="Y19" s="15"/>
      <c r="Z19" s="20" t="s">
        <v>97</v>
      </c>
    </row>
    <row r="20" customFormat="false" ht="15" hidden="false" customHeight="true" outlineLevel="0" collapsed="false">
      <c r="A20" s="15" t="n">
        <v>2</v>
      </c>
      <c r="B20" s="16" t="s">
        <v>85</v>
      </c>
      <c r="C20" s="16" t="s">
        <v>63</v>
      </c>
      <c r="D20" s="16" t="s">
        <v>64</v>
      </c>
      <c r="E20" s="15" t="n">
        <v>2</v>
      </c>
      <c r="F20" s="17" t="n">
        <v>7493</v>
      </c>
      <c r="G20" s="18" t="str">
        <f aca="false">IF(H20=0,"S","N")</f>
        <v>S</v>
      </c>
      <c r="H20" s="18" t="n">
        <v>0</v>
      </c>
      <c r="I20" s="18" t="n">
        <v>4</v>
      </c>
      <c r="J20" s="18" t="n">
        <v>0</v>
      </c>
      <c r="K20" s="18" t="n">
        <v>3</v>
      </c>
      <c r="L20" s="19"/>
      <c r="M20" s="20" t="s">
        <v>98</v>
      </c>
      <c r="N20" s="16" t="s">
        <v>99</v>
      </c>
      <c r="O20" s="17" t="n">
        <v>7493</v>
      </c>
      <c r="P20" s="17" t="n">
        <v>135</v>
      </c>
      <c r="Q20" s="17" t="n">
        <v>0</v>
      </c>
      <c r="R20" s="21" t="n">
        <f aca="false">IF(P20&gt;0,Q20/P20*100,"")</f>
        <v>0</v>
      </c>
      <c r="S20" s="17" t="n">
        <v>3498</v>
      </c>
      <c r="T20" s="17" t="n">
        <v>0.2</v>
      </c>
      <c r="U20" s="15"/>
      <c r="V20" s="15"/>
      <c r="W20" s="15"/>
      <c r="X20" s="15"/>
      <c r="Y20" s="15"/>
      <c r="Z20" s="20" t="s">
        <v>100</v>
      </c>
    </row>
    <row r="21" customFormat="false" ht="15" hidden="false" customHeight="true" outlineLevel="0" collapsed="false">
      <c r="A21" s="15" t="n">
        <v>3</v>
      </c>
      <c r="B21" s="16" t="s">
        <v>101</v>
      </c>
      <c r="C21" s="16" t="s">
        <v>50</v>
      </c>
      <c r="D21" s="16" t="s">
        <v>51</v>
      </c>
      <c r="E21" s="15" t="n">
        <v>1</v>
      </c>
      <c r="F21" s="17" t="n">
        <v>17526</v>
      </c>
      <c r="G21" s="18" t="str">
        <f aca="false">IF(H21=0,"S","N")</f>
        <v>S</v>
      </c>
      <c r="H21" s="18" t="n">
        <v>0</v>
      </c>
      <c r="I21" s="18" t="n">
        <v>5</v>
      </c>
      <c r="J21" s="18" t="n">
        <v>0</v>
      </c>
      <c r="K21" s="18" t="n">
        <v>5</v>
      </c>
      <c r="L21" s="19"/>
      <c r="M21" s="20" t="s">
        <v>102</v>
      </c>
      <c r="N21" s="16" t="s">
        <v>103</v>
      </c>
      <c r="O21" s="17" t="n">
        <v>17526</v>
      </c>
      <c r="P21" s="17" t="n">
        <v>302</v>
      </c>
      <c r="Q21" s="17" t="n">
        <v>0</v>
      </c>
      <c r="R21" s="21" t="n">
        <f aca="false">IF(P21&gt;0,Q21/P21*100,"")</f>
        <v>0</v>
      </c>
      <c r="S21" s="17" t="n">
        <v>7900</v>
      </c>
      <c r="T21" s="17" t="s">
        <v>54</v>
      </c>
      <c r="U21" s="15"/>
      <c r="V21" s="15"/>
      <c r="W21" s="15"/>
      <c r="X21" s="15"/>
      <c r="Y21" s="15"/>
      <c r="Z21" s="20"/>
    </row>
    <row r="22" customFormat="false" ht="15" hidden="false" customHeight="true" outlineLevel="0" collapsed="false">
      <c r="A22" s="15" t="n">
        <v>3</v>
      </c>
      <c r="B22" s="16" t="s">
        <v>101</v>
      </c>
      <c r="C22" s="16" t="s">
        <v>50</v>
      </c>
      <c r="D22" s="16" t="s">
        <v>51</v>
      </c>
      <c r="E22" s="15" t="n">
        <v>2</v>
      </c>
      <c r="F22" s="17" t="n">
        <v>17015</v>
      </c>
      <c r="G22" s="18" t="str">
        <f aca="false">IF(H22=0,"S","N")</f>
        <v>S</v>
      </c>
      <c r="H22" s="18" t="n">
        <v>0</v>
      </c>
      <c r="I22" s="18" t="n">
        <v>5</v>
      </c>
      <c r="J22" s="18" t="n">
        <v>0</v>
      </c>
      <c r="K22" s="18" t="n">
        <v>5</v>
      </c>
      <c r="L22" s="19"/>
      <c r="M22" s="20" t="s">
        <v>104</v>
      </c>
      <c r="N22" s="16" t="s">
        <v>105</v>
      </c>
      <c r="O22" s="17" t="n">
        <v>17015</v>
      </c>
      <c r="P22" s="17" t="n">
        <v>315</v>
      </c>
      <c r="Q22" s="17" t="n">
        <v>0</v>
      </c>
      <c r="R22" s="21" t="n">
        <f aca="false">IF(P22&gt;0,Q22/P22*100,"")</f>
        <v>0</v>
      </c>
      <c r="S22" s="17" t="n">
        <v>7777</v>
      </c>
      <c r="T22" s="17" t="s">
        <v>54</v>
      </c>
      <c r="U22" s="15"/>
      <c r="V22" s="15"/>
      <c r="W22" s="15"/>
      <c r="X22" s="15"/>
      <c r="Y22" s="15"/>
      <c r="Z22" s="20"/>
    </row>
    <row r="23" customFormat="false" ht="15" hidden="false" customHeight="true" outlineLevel="0" collapsed="false">
      <c r="A23" s="15" t="n">
        <v>3</v>
      </c>
      <c r="B23" s="16" t="s">
        <v>101</v>
      </c>
      <c r="C23" s="16" t="s">
        <v>57</v>
      </c>
      <c r="D23" s="16" t="s">
        <v>58</v>
      </c>
      <c r="E23" s="15" t="n">
        <v>1</v>
      </c>
      <c r="F23" s="17" t="n">
        <v>30422</v>
      </c>
      <c r="G23" s="18" t="str">
        <f aca="false">IF(H23=0,"S","N")</f>
        <v>S</v>
      </c>
      <c r="H23" s="18" t="n">
        <v>0</v>
      </c>
      <c r="I23" s="18" t="n">
        <v>5</v>
      </c>
      <c r="J23" s="18" t="n">
        <v>0</v>
      </c>
      <c r="K23" s="18" t="n">
        <v>5</v>
      </c>
      <c r="L23" s="19"/>
      <c r="M23" s="20" t="s">
        <v>106</v>
      </c>
      <c r="N23" s="16" t="s">
        <v>107</v>
      </c>
      <c r="O23" s="17" t="n">
        <v>30422</v>
      </c>
      <c r="P23" s="17" t="n">
        <v>631</v>
      </c>
      <c r="Q23" s="17" t="n">
        <v>0</v>
      </c>
      <c r="R23" s="21" t="n">
        <f aca="false">IF(P23&gt;0,Q23/P23*100,"")</f>
        <v>0</v>
      </c>
      <c r="S23" s="17" t="n">
        <v>8433</v>
      </c>
      <c r="T23" s="17" t="s">
        <v>54</v>
      </c>
      <c r="U23" s="15"/>
      <c r="V23" s="15"/>
      <c r="W23" s="15"/>
      <c r="X23" s="15"/>
      <c r="Y23" s="15"/>
      <c r="Z23" s="20"/>
    </row>
    <row r="24" customFormat="false" ht="15" hidden="false" customHeight="true" outlineLevel="0" collapsed="false">
      <c r="A24" s="15" t="n">
        <v>3</v>
      </c>
      <c r="B24" s="16" t="s">
        <v>101</v>
      </c>
      <c r="C24" s="16" t="s">
        <v>57</v>
      </c>
      <c r="D24" s="16" t="s">
        <v>58</v>
      </c>
      <c r="E24" s="15" t="n">
        <v>2</v>
      </c>
      <c r="F24" s="17" t="n">
        <v>30365</v>
      </c>
      <c r="G24" s="18" t="str">
        <f aca="false">IF(H24=0,"S","N")</f>
        <v>S</v>
      </c>
      <c r="H24" s="18" t="n">
        <v>0</v>
      </c>
      <c r="I24" s="18" t="n">
        <v>5</v>
      </c>
      <c r="J24" s="18" t="n">
        <v>1</v>
      </c>
      <c r="K24" s="18" t="n">
        <v>5</v>
      </c>
      <c r="L24" s="19"/>
      <c r="M24" s="20" t="s">
        <v>108</v>
      </c>
      <c r="N24" s="16" t="s">
        <v>109</v>
      </c>
      <c r="O24" s="17" t="n">
        <v>30365</v>
      </c>
      <c r="P24" s="17" t="n">
        <v>582</v>
      </c>
      <c r="Q24" s="17" t="n">
        <v>0</v>
      </c>
      <c r="R24" s="21" t="n">
        <f aca="false">IF(P24&gt;0,Q24/P24*100,"")</f>
        <v>0</v>
      </c>
      <c r="S24" s="17" t="n">
        <v>8442</v>
      </c>
      <c r="T24" s="17" t="s">
        <v>54</v>
      </c>
      <c r="U24" s="15"/>
      <c r="V24" s="15"/>
      <c r="W24" s="15"/>
      <c r="X24" s="15"/>
      <c r="Y24" s="15"/>
      <c r="Z24" s="20"/>
    </row>
    <row r="25" customFormat="false" ht="15" hidden="false" customHeight="true" outlineLevel="0" collapsed="false">
      <c r="A25" s="15" t="n">
        <v>3</v>
      </c>
      <c r="B25" s="16" t="s">
        <v>101</v>
      </c>
      <c r="C25" s="16" t="s">
        <v>63</v>
      </c>
      <c r="D25" s="16" t="s">
        <v>64</v>
      </c>
      <c r="E25" s="15" t="n">
        <v>1</v>
      </c>
      <c r="F25" s="17" t="n">
        <v>11271</v>
      </c>
      <c r="G25" s="18" t="str">
        <f aca="false">IF(H25=0,"S","N")</f>
        <v>S</v>
      </c>
      <c r="H25" s="18" t="n">
        <v>0</v>
      </c>
      <c r="I25" s="18" t="n">
        <v>5</v>
      </c>
      <c r="J25" s="18" t="n">
        <v>0</v>
      </c>
      <c r="K25" s="18" t="n">
        <v>3</v>
      </c>
      <c r="L25" s="19"/>
      <c r="M25" s="20" t="s">
        <v>110</v>
      </c>
      <c r="N25" s="16" t="s">
        <v>111</v>
      </c>
      <c r="O25" s="17" t="n">
        <v>7062</v>
      </c>
      <c r="P25" s="17" t="n">
        <v>140</v>
      </c>
      <c r="Q25" s="17" t="n">
        <v>0</v>
      </c>
      <c r="R25" s="21" t="n">
        <f aca="false">IF(P25&gt;0,Q25/P25*100,"")</f>
        <v>0</v>
      </c>
      <c r="S25" s="17" t="s">
        <v>88</v>
      </c>
      <c r="T25" s="17" t="n">
        <v>0.2</v>
      </c>
      <c r="U25" s="15"/>
      <c r="V25" s="15"/>
      <c r="W25" s="15"/>
      <c r="X25" s="15"/>
      <c r="Y25" s="15"/>
      <c r="Z25" s="20"/>
    </row>
    <row r="26" customFormat="false" ht="15" hidden="false" customHeight="true" outlineLevel="0" collapsed="false">
      <c r="A26" s="15" t="n">
        <v>3</v>
      </c>
      <c r="B26" s="16" t="s">
        <v>101</v>
      </c>
      <c r="C26" s="16" t="s">
        <v>63</v>
      </c>
      <c r="D26" s="16" t="s">
        <v>64</v>
      </c>
      <c r="E26" s="15" t="n">
        <v>2</v>
      </c>
      <c r="F26" s="17" t="n">
        <v>11072</v>
      </c>
      <c r="G26" s="18" t="str">
        <f aca="false">IF(H26=0,"S","N")</f>
        <v>S</v>
      </c>
      <c r="H26" s="18" t="n">
        <v>0</v>
      </c>
      <c r="I26" s="18" t="n">
        <v>5</v>
      </c>
      <c r="J26" s="18" t="n">
        <v>0</v>
      </c>
      <c r="K26" s="18" t="n">
        <v>4</v>
      </c>
      <c r="L26" s="19"/>
      <c r="M26" s="20" t="s">
        <v>112</v>
      </c>
      <c r="N26" s="16" t="s">
        <v>113</v>
      </c>
      <c r="O26" s="17" t="n">
        <v>7186</v>
      </c>
      <c r="P26" s="17" t="n">
        <v>142</v>
      </c>
      <c r="Q26" s="17" t="n">
        <v>0</v>
      </c>
      <c r="R26" s="21" t="n">
        <f aca="false">IF(P26&gt;0,Q26/P26*100,"")</f>
        <v>0</v>
      </c>
      <c r="S26" s="17" t="s">
        <v>88</v>
      </c>
      <c r="T26" s="17" t="n">
        <v>0.2</v>
      </c>
      <c r="U26" s="15"/>
      <c r="V26" s="15"/>
      <c r="W26" s="15"/>
      <c r="X26" s="15"/>
      <c r="Y26" s="15"/>
      <c r="Z26" s="20"/>
    </row>
    <row r="27" customFormat="false" ht="15" hidden="false" customHeight="true" outlineLevel="0" collapsed="false">
      <c r="A27" s="15" t="n">
        <v>4</v>
      </c>
      <c r="B27" s="16" t="s">
        <v>114</v>
      </c>
      <c r="C27" s="16" t="s">
        <v>50</v>
      </c>
      <c r="D27" s="16" t="s">
        <v>51</v>
      </c>
      <c r="E27" s="15" t="n">
        <v>1</v>
      </c>
      <c r="F27" s="17" t="n">
        <v>24062</v>
      </c>
      <c r="G27" s="18" t="str">
        <f aca="false">IF(H27=0,"S","N")</f>
        <v>S</v>
      </c>
      <c r="H27" s="18" t="n">
        <v>0</v>
      </c>
      <c r="I27" s="18" t="n">
        <v>5</v>
      </c>
      <c r="J27" s="18" t="n">
        <v>6</v>
      </c>
      <c r="K27" s="18" t="n">
        <v>4</v>
      </c>
      <c r="L27" s="22" t="n">
        <f aca="false">SUM(U27:Y27)</f>
        <v>3</v>
      </c>
      <c r="M27" s="20" t="s">
        <v>115</v>
      </c>
      <c r="N27" s="16" t="s">
        <v>116</v>
      </c>
      <c r="O27" s="17" t="n">
        <v>24062</v>
      </c>
      <c r="P27" s="17" t="n">
        <v>453</v>
      </c>
      <c r="Q27" s="17" t="n">
        <v>2</v>
      </c>
      <c r="R27" s="21" t="n">
        <f aca="false">IF(P27&gt;0,Q27/P27*100,"")</f>
        <v>0.441501103752759</v>
      </c>
      <c r="S27" s="17" t="n">
        <v>11939</v>
      </c>
      <c r="T27" s="17" t="s">
        <v>54</v>
      </c>
      <c r="U27" s="23" t="n">
        <v>1</v>
      </c>
      <c r="V27" s="23" t="n">
        <v>0.5</v>
      </c>
      <c r="W27" s="23" t="n">
        <v>0.5</v>
      </c>
      <c r="X27" s="23" t="n">
        <v>0</v>
      </c>
      <c r="Y27" s="23" t="n">
        <v>1</v>
      </c>
      <c r="Z27" s="20" t="s">
        <v>117</v>
      </c>
    </row>
    <row r="28" customFormat="false" ht="15" hidden="false" customHeight="true" outlineLevel="0" collapsed="false">
      <c r="A28" s="15" t="n">
        <v>4</v>
      </c>
      <c r="B28" s="16" t="s">
        <v>114</v>
      </c>
      <c r="C28" s="16" t="s">
        <v>50</v>
      </c>
      <c r="D28" s="16" t="s">
        <v>51</v>
      </c>
      <c r="E28" s="15" t="n">
        <v>2</v>
      </c>
      <c r="F28" s="17" t="n">
        <v>23648</v>
      </c>
      <c r="G28" s="18" t="str">
        <f aca="false">IF(H28=0,"S","N")</f>
        <v>S</v>
      </c>
      <c r="H28" s="18" t="n">
        <v>0</v>
      </c>
      <c r="I28" s="18" t="n">
        <v>5</v>
      </c>
      <c r="J28" s="18" t="n">
        <v>7</v>
      </c>
      <c r="K28" s="18" t="n">
        <v>4</v>
      </c>
      <c r="L28" s="22" t="n">
        <f aca="false">SUM(U28:Y28)</f>
        <v>3</v>
      </c>
      <c r="M28" s="20" t="s">
        <v>118</v>
      </c>
      <c r="N28" s="16" t="s">
        <v>119</v>
      </c>
      <c r="O28" s="17" t="n">
        <v>23648</v>
      </c>
      <c r="P28" s="17" t="n">
        <v>417</v>
      </c>
      <c r="Q28" s="17" t="n">
        <v>3</v>
      </c>
      <c r="R28" s="21" t="n">
        <f aca="false">IF(P28&gt;0,Q28/P28*100,"")</f>
        <v>0.719424460431655</v>
      </c>
      <c r="S28" s="17" t="n">
        <v>11203</v>
      </c>
      <c r="T28" s="17" t="s">
        <v>54</v>
      </c>
      <c r="U28" s="23" t="n">
        <v>1</v>
      </c>
      <c r="V28" s="23" t="n">
        <v>0.5</v>
      </c>
      <c r="W28" s="23" t="n">
        <v>0.5</v>
      </c>
      <c r="X28" s="23" t="n">
        <v>0</v>
      </c>
      <c r="Y28" s="23" t="n">
        <v>1</v>
      </c>
      <c r="Z28" s="20" t="s">
        <v>117</v>
      </c>
    </row>
    <row r="29" customFormat="false" ht="15" hidden="false" customHeight="true" outlineLevel="0" collapsed="false">
      <c r="A29" s="15" t="n">
        <v>4</v>
      </c>
      <c r="B29" s="16" t="s">
        <v>114</v>
      </c>
      <c r="C29" s="16" t="s">
        <v>57</v>
      </c>
      <c r="D29" s="16" t="s">
        <v>58</v>
      </c>
      <c r="E29" s="15" t="n">
        <v>1</v>
      </c>
      <c r="F29" s="17" t="n">
        <v>43514</v>
      </c>
      <c r="G29" s="18" t="str">
        <f aca="false">IF(H29=0,"S","N")</f>
        <v>S</v>
      </c>
      <c r="H29" s="18" t="n">
        <v>0</v>
      </c>
      <c r="I29" s="18" t="n">
        <v>5</v>
      </c>
      <c r="J29" s="18" t="n">
        <v>4</v>
      </c>
      <c r="K29" s="18" t="n">
        <v>5</v>
      </c>
      <c r="L29" s="22" t="n">
        <f aca="false">SUM(U29:Y29)</f>
        <v>5</v>
      </c>
      <c r="M29" s="20" t="s">
        <v>120</v>
      </c>
      <c r="N29" s="16" t="s">
        <v>121</v>
      </c>
      <c r="O29" s="17" t="n">
        <v>43514</v>
      </c>
      <c r="P29" s="17" t="n">
        <v>1038</v>
      </c>
      <c r="Q29" s="17" t="n">
        <v>1</v>
      </c>
      <c r="R29" s="21" t="n">
        <f aca="false">IF(P29&gt;0,Q29/P29*100,"")</f>
        <v>0.0963391136801542</v>
      </c>
      <c r="S29" s="17" t="n">
        <v>12525</v>
      </c>
      <c r="T29" s="17" t="s">
        <v>54</v>
      </c>
      <c r="U29" s="23" t="n">
        <v>1</v>
      </c>
      <c r="V29" s="23" t="n">
        <v>1</v>
      </c>
      <c r="W29" s="23" t="n">
        <v>1</v>
      </c>
      <c r="X29" s="23" t="n">
        <v>1</v>
      </c>
      <c r="Y29" s="23" t="n">
        <v>1</v>
      </c>
      <c r="Z29" s="20"/>
    </row>
    <row r="30" customFormat="false" ht="15" hidden="false" customHeight="true" outlineLevel="0" collapsed="false">
      <c r="A30" s="15" t="n">
        <v>4</v>
      </c>
      <c r="B30" s="16" t="s">
        <v>114</v>
      </c>
      <c r="C30" s="16" t="s">
        <v>57</v>
      </c>
      <c r="D30" s="16" t="s">
        <v>58</v>
      </c>
      <c r="E30" s="15" t="n">
        <v>2</v>
      </c>
      <c r="F30" s="17" t="n">
        <v>47395</v>
      </c>
      <c r="G30" s="18" t="str">
        <f aca="false">IF(H30=0,"S","N")</f>
        <v>S</v>
      </c>
      <c r="H30" s="18" t="n">
        <v>0</v>
      </c>
      <c r="I30" s="18" t="n">
        <v>5</v>
      </c>
      <c r="J30" s="18" t="n">
        <v>1</v>
      </c>
      <c r="K30" s="18" t="n">
        <v>5</v>
      </c>
      <c r="L30" s="22" t="n">
        <f aca="false">SUM(U30:Y30)</f>
        <v>5</v>
      </c>
      <c r="M30" s="20" t="s">
        <v>122</v>
      </c>
      <c r="N30" s="16" t="s">
        <v>123</v>
      </c>
      <c r="O30" s="17" t="n">
        <v>47395</v>
      </c>
      <c r="P30" s="17" t="n">
        <v>1117</v>
      </c>
      <c r="Q30" s="17" t="n">
        <v>0</v>
      </c>
      <c r="R30" s="21" t="n">
        <f aca="false">IF(P30&gt;0,Q30/P30*100,"")</f>
        <v>0</v>
      </c>
      <c r="S30" s="17" t="n">
        <v>13323</v>
      </c>
      <c r="T30" s="17" t="s">
        <v>54</v>
      </c>
      <c r="U30" s="23" t="n">
        <v>1</v>
      </c>
      <c r="V30" s="23" t="n">
        <v>1</v>
      </c>
      <c r="W30" s="23" t="n">
        <v>1</v>
      </c>
      <c r="X30" s="23" t="n">
        <v>1</v>
      </c>
      <c r="Y30" s="23" t="n">
        <v>1</v>
      </c>
      <c r="Z30" s="20"/>
    </row>
    <row r="31" customFormat="false" ht="15" hidden="false" customHeight="true" outlineLevel="0" collapsed="false">
      <c r="A31" s="15" t="n">
        <v>4</v>
      </c>
      <c r="B31" s="16" t="s">
        <v>114</v>
      </c>
      <c r="C31" s="16" t="s">
        <v>63</v>
      </c>
      <c r="D31" s="16" t="s">
        <v>64</v>
      </c>
      <c r="E31" s="15" t="n">
        <v>1</v>
      </c>
      <c r="F31" s="17" t="n">
        <v>11590</v>
      </c>
      <c r="G31" s="18" t="str">
        <f aca="false">IF(H31=0,"S","N")</f>
        <v>S</v>
      </c>
      <c r="H31" s="18" t="n">
        <v>0</v>
      </c>
      <c r="I31" s="18" t="n">
        <v>5</v>
      </c>
      <c r="J31" s="18" t="n">
        <v>5</v>
      </c>
      <c r="K31" s="18" t="n">
        <v>3</v>
      </c>
      <c r="L31" s="22" t="n">
        <f aca="false">SUM(U31:Y31)</f>
        <v>1</v>
      </c>
      <c r="M31" s="20" t="s">
        <v>124</v>
      </c>
      <c r="N31" s="16" t="s">
        <v>125</v>
      </c>
      <c r="O31" s="17" t="n">
        <v>7735</v>
      </c>
      <c r="P31" s="17" t="n">
        <v>120</v>
      </c>
      <c r="Q31" s="17" t="n">
        <v>5</v>
      </c>
      <c r="R31" s="21" t="n">
        <f aca="false">IF(P31&gt;0,Q31/P31*100,"")</f>
        <v>4.16666666666667</v>
      </c>
      <c r="S31" s="17" t="s">
        <v>88</v>
      </c>
      <c r="T31" s="17" t="n">
        <v>0.2</v>
      </c>
      <c r="U31" s="23" t="n">
        <v>1</v>
      </c>
      <c r="V31" s="23" t="n">
        <v>0</v>
      </c>
      <c r="W31" s="23" t="n">
        <v>0</v>
      </c>
      <c r="X31" s="23" t="n">
        <v>0</v>
      </c>
      <c r="Y31" s="23" t="n">
        <v>0</v>
      </c>
      <c r="Z31" s="20" t="s">
        <v>126</v>
      </c>
    </row>
    <row r="32" customFormat="false" ht="15" hidden="false" customHeight="true" outlineLevel="0" collapsed="false">
      <c r="A32" s="15" t="n">
        <v>4</v>
      </c>
      <c r="B32" s="16" t="s">
        <v>114</v>
      </c>
      <c r="C32" s="16" t="s">
        <v>63</v>
      </c>
      <c r="D32" s="16" t="s">
        <v>64</v>
      </c>
      <c r="E32" s="15" t="n">
        <v>2</v>
      </c>
      <c r="F32" s="17" t="n">
        <v>14613</v>
      </c>
      <c r="G32" s="18" t="str">
        <f aca="false">IF(H32=0,"S","N")</f>
        <v>S</v>
      </c>
      <c r="H32" s="18" t="n">
        <v>0</v>
      </c>
      <c r="I32" s="18" t="n">
        <v>5</v>
      </c>
      <c r="J32" s="18" t="n">
        <v>2</v>
      </c>
      <c r="K32" s="18" t="n">
        <v>3</v>
      </c>
      <c r="L32" s="22" t="n">
        <f aca="false">SUM(U32:Y32)</f>
        <v>1.5</v>
      </c>
      <c r="M32" s="20" t="s">
        <v>127</v>
      </c>
      <c r="N32" s="16" t="s">
        <v>128</v>
      </c>
      <c r="O32" s="17" t="n">
        <v>14613</v>
      </c>
      <c r="P32" s="17" t="n">
        <v>116</v>
      </c>
      <c r="Q32" s="17" t="n">
        <v>2</v>
      </c>
      <c r="R32" s="21" t="n">
        <f aca="false">IF(P32&gt;0,Q32/P32*100,"")</f>
        <v>1.72413793103448</v>
      </c>
      <c r="S32" s="17" t="n">
        <v>5461</v>
      </c>
      <c r="T32" s="17" t="n">
        <v>0.2</v>
      </c>
      <c r="U32" s="23" t="n">
        <v>1</v>
      </c>
      <c r="V32" s="23" t="n">
        <v>0</v>
      </c>
      <c r="W32" s="23" t="n">
        <v>0.5</v>
      </c>
      <c r="X32" s="23" t="n">
        <v>0</v>
      </c>
      <c r="Y32" s="23" t="n">
        <v>0</v>
      </c>
      <c r="Z32" s="20" t="s">
        <v>129</v>
      </c>
    </row>
    <row r="33" customFormat="false" ht="90.75" hidden="false" customHeight="true" outlineLevel="0" collapsed="false">
      <c r="A33" s="24" t="n">
        <v>0</v>
      </c>
      <c r="B33" s="24" t="s">
        <v>49</v>
      </c>
      <c r="C33" s="24" t="s">
        <v>130</v>
      </c>
      <c r="D33" s="24" t="s">
        <v>131</v>
      </c>
      <c r="E33" s="24" t="n">
        <v>1</v>
      </c>
      <c r="F33" s="24" t="n">
        <v>6030</v>
      </c>
      <c r="G33" s="24" t="str">
        <f aca="false">IF(H33=0,"S","N")</f>
        <v>S</v>
      </c>
      <c r="H33" s="24" t="n">
        <v>0</v>
      </c>
      <c r="I33" s="24" t="n">
        <v>5</v>
      </c>
      <c r="J33" s="24" t="n">
        <v>0</v>
      </c>
      <c r="K33" s="24" t="n">
        <v>5</v>
      </c>
      <c r="L33" s="24" t="s">
        <v>132</v>
      </c>
      <c r="M33" s="25" t="s">
        <v>133</v>
      </c>
      <c r="N33" s="1" t="s">
        <v>134</v>
      </c>
      <c r="O33" s="26" t="n">
        <v>6029</v>
      </c>
      <c r="P33" s="26" t="n">
        <v>82</v>
      </c>
      <c r="Q33" s="26" t="n">
        <v>0</v>
      </c>
      <c r="R33" s="27" t="n">
        <f aca="false">IF(P33&gt;0,Q33/P33*100,"")</f>
        <v>0</v>
      </c>
      <c r="S33" s="26" t="n">
        <v>1669</v>
      </c>
      <c r="T33" s="26" t="s">
        <v>54</v>
      </c>
      <c r="U33" s="28"/>
      <c r="V33" s="28"/>
      <c r="W33" s="28"/>
      <c r="X33" s="28"/>
      <c r="Y33" s="28"/>
      <c r="Z33" s="25"/>
    </row>
    <row r="34" customFormat="false" ht="34.5" hidden="false" customHeight="true" outlineLevel="0" collapsed="false">
      <c r="A34" s="24" t="n">
        <v>0</v>
      </c>
      <c r="B34" s="24" t="s">
        <v>49</v>
      </c>
      <c r="C34" s="24" t="s">
        <v>130</v>
      </c>
      <c r="D34" s="24" t="s">
        <v>131</v>
      </c>
      <c r="E34" s="24" t="n">
        <v>2</v>
      </c>
      <c r="F34" s="24" t="n">
        <v>5531</v>
      </c>
      <c r="G34" s="24" t="str">
        <f aca="false">IF(H34=0,"S","N")</f>
        <v>S</v>
      </c>
      <c r="H34" s="24" t="n">
        <v>0</v>
      </c>
      <c r="I34" s="24" t="n">
        <v>5</v>
      </c>
      <c r="J34" s="24" t="n">
        <v>0</v>
      </c>
      <c r="K34" s="24" t="n">
        <v>5</v>
      </c>
      <c r="L34" s="24" t="s">
        <v>132</v>
      </c>
      <c r="M34" s="25" t="s">
        <v>135</v>
      </c>
      <c r="N34" s="1" t="s">
        <v>136</v>
      </c>
      <c r="O34" s="26" t="n">
        <v>5523</v>
      </c>
      <c r="P34" s="26" t="n">
        <v>67</v>
      </c>
      <c r="Q34" s="26" t="n">
        <v>0</v>
      </c>
      <c r="R34" s="27" t="n">
        <f aca="false">IF(P34&gt;0,Q34/P34*100,"")</f>
        <v>0</v>
      </c>
      <c r="S34" s="26" t="n">
        <v>1567</v>
      </c>
      <c r="T34" s="26" t="s">
        <v>54</v>
      </c>
      <c r="U34" s="28"/>
      <c r="V34" s="28"/>
      <c r="W34" s="28"/>
      <c r="X34" s="28"/>
      <c r="Y34" s="28"/>
      <c r="Z34" s="25"/>
    </row>
    <row r="35" customFormat="false" ht="57" hidden="false" customHeight="true" outlineLevel="0" collapsed="false">
      <c r="A35" s="24" t="n">
        <v>1</v>
      </c>
      <c r="B35" s="24" t="s">
        <v>71</v>
      </c>
      <c r="C35" s="24" t="s">
        <v>130</v>
      </c>
      <c r="D35" s="24" t="s">
        <v>131</v>
      </c>
      <c r="E35" s="24" t="n">
        <v>1</v>
      </c>
      <c r="F35" s="24" t="n">
        <v>13346</v>
      </c>
      <c r="G35" s="24" t="str">
        <f aca="false">IF(H35=0,"S","N")</f>
        <v>S</v>
      </c>
      <c r="H35" s="24" t="n">
        <v>0</v>
      </c>
      <c r="I35" s="24" t="n">
        <v>5</v>
      </c>
      <c r="J35" s="24" t="n">
        <v>0</v>
      </c>
      <c r="K35" s="24" t="n">
        <v>5</v>
      </c>
      <c r="L35" s="24" t="s">
        <v>132</v>
      </c>
      <c r="M35" s="25" t="s">
        <v>137</v>
      </c>
      <c r="N35" s="1" t="s">
        <v>138</v>
      </c>
      <c r="O35" s="26" t="n">
        <v>13346</v>
      </c>
      <c r="P35" s="26" t="n">
        <v>285</v>
      </c>
      <c r="Q35" s="26" t="n">
        <v>0</v>
      </c>
      <c r="R35" s="27" t="n">
        <f aca="false">IF(P35&gt;0,Q35/P35*100,"")</f>
        <v>0</v>
      </c>
      <c r="S35" s="26" t="n">
        <v>3409</v>
      </c>
      <c r="T35" s="26" t="s">
        <v>54</v>
      </c>
      <c r="U35" s="28"/>
      <c r="V35" s="28"/>
      <c r="W35" s="28"/>
      <c r="X35" s="28"/>
      <c r="Y35" s="28"/>
      <c r="Z35" s="25"/>
    </row>
    <row r="36" customFormat="false" ht="124.5" hidden="false" customHeight="true" outlineLevel="0" collapsed="false">
      <c r="A36" s="24" t="n">
        <v>1</v>
      </c>
      <c r="B36" s="24" t="s">
        <v>71</v>
      </c>
      <c r="C36" s="24" t="s">
        <v>130</v>
      </c>
      <c r="D36" s="24" t="s">
        <v>131</v>
      </c>
      <c r="E36" s="24" t="n">
        <v>2</v>
      </c>
      <c r="F36" s="24" t="n">
        <v>13965</v>
      </c>
      <c r="G36" s="24" t="str">
        <f aca="false">IF(H36=0,"S","N")</f>
        <v>N</v>
      </c>
      <c r="H36" s="24" t="n">
        <v>2</v>
      </c>
      <c r="I36" s="24" t="n">
        <v>5</v>
      </c>
      <c r="J36" s="24" t="n">
        <v>0</v>
      </c>
      <c r="K36" s="24" t="n">
        <v>4</v>
      </c>
      <c r="L36" s="24" t="s">
        <v>132</v>
      </c>
      <c r="M36" s="25" t="s">
        <v>139</v>
      </c>
      <c r="N36" s="1" t="s">
        <v>140</v>
      </c>
      <c r="O36" s="26" t="n">
        <v>13963</v>
      </c>
      <c r="P36" s="26" t="n">
        <v>343</v>
      </c>
      <c r="Q36" s="26" t="n">
        <v>0</v>
      </c>
      <c r="R36" s="27" t="n">
        <f aca="false">IF(P36&gt;0,Q36/P36*100,"")</f>
        <v>0</v>
      </c>
      <c r="S36" s="26" t="n">
        <v>3620</v>
      </c>
      <c r="T36" s="26" t="s">
        <v>54</v>
      </c>
      <c r="U36" s="28"/>
      <c r="V36" s="28"/>
      <c r="W36" s="28"/>
      <c r="X36" s="28"/>
      <c r="Y36" s="28"/>
      <c r="Z36" s="25" t="s">
        <v>141</v>
      </c>
    </row>
    <row r="37" customFormat="false" ht="68.25" hidden="false" customHeight="true" outlineLevel="0" collapsed="false">
      <c r="A37" s="24" t="n">
        <v>2</v>
      </c>
      <c r="B37" s="24" t="s">
        <v>85</v>
      </c>
      <c r="C37" s="24" t="s">
        <v>130</v>
      </c>
      <c r="D37" s="24" t="s">
        <v>131</v>
      </c>
      <c r="E37" s="24" t="n">
        <v>1</v>
      </c>
      <c r="F37" s="24" t="n">
        <v>11994</v>
      </c>
      <c r="G37" s="24" t="str">
        <f aca="false">IF(H37=0,"S","N")</f>
        <v>N</v>
      </c>
      <c r="H37" s="24" t="n">
        <v>1</v>
      </c>
      <c r="I37" s="24" t="n">
        <v>5</v>
      </c>
      <c r="J37" s="24" t="n">
        <v>2</v>
      </c>
      <c r="K37" s="24" t="n">
        <v>5</v>
      </c>
      <c r="L37" s="24" t="s">
        <v>132</v>
      </c>
      <c r="M37" s="25" t="s">
        <v>142</v>
      </c>
      <c r="N37" s="1" t="s">
        <v>143</v>
      </c>
      <c r="O37" s="26" t="n">
        <v>11993</v>
      </c>
      <c r="P37" s="26" t="n">
        <v>224</v>
      </c>
      <c r="Q37" s="26" t="n">
        <v>1</v>
      </c>
      <c r="R37" s="27" t="n">
        <f aca="false">IF(P37&gt;0,Q37/P37*100,"")</f>
        <v>0.446428571428571</v>
      </c>
      <c r="S37" s="26" t="n">
        <v>3214</v>
      </c>
      <c r="T37" s="26" t="s">
        <v>54</v>
      </c>
      <c r="U37" s="28"/>
      <c r="V37" s="28"/>
      <c r="W37" s="28"/>
      <c r="X37" s="28"/>
      <c r="Y37" s="28"/>
      <c r="Z37" s="25" t="s">
        <v>141</v>
      </c>
    </row>
    <row r="38" customFormat="false" ht="79.5" hidden="false" customHeight="true" outlineLevel="0" collapsed="false">
      <c r="A38" s="24" t="n">
        <v>2</v>
      </c>
      <c r="B38" s="24" t="s">
        <v>85</v>
      </c>
      <c r="C38" s="24" t="s">
        <v>130</v>
      </c>
      <c r="D38" s="24" t="s">
        <v>131</v>
      </c>
      <c r="E38" s="24" t="n">
        <v>2</v>
      </c>
      <c r="F38" s="24" t="n">
        <v>11651</v>
      </c>
      <c r="G38" s="24" t="str">
        <f aca="false">IF(H38=0,"S","N")</f>
        <v>N</v>
      </c>
      <c r="H38" s="24" t="n">
        <v>1</v>
      </c>
      <c r="I38" s="24" t="n">
        <v>5</v>
      </c>
      <c r="J38" s="24" t="n">
        <v>3</v>
      </c>
      <c r="K38" s="24" t="n">
        <v>4</v>
      </c>
      <c r="L38" s="24" t="s">
        <v>132</v>
      </c>
      <c r="M38" s="25" t="s">
        <v>144</v>
      </c>
      <c r="N38" s="1" t="s">
        <v>145</v>
      </c>
      <c r="O38" s="26" t="n">
        <v>11648</v>
      </c>
      <c r="P38" s="26" t="n">
        <v>201</v>
      </c>
      <c r="Q38" s="26" t="n">
        <v>0</v>
      </c>
      <c r="R38" s="27" t="n">
        <f aca="false">IF(P38&gt;0,Q38/P38*100,"")</f>
        <v>0</v>
      </c>
      <c r="S38" s="26" t="n">
        <v>3142</v>
      </c>
      <c r="T38" s="26" t="s">
        <v>54</v>
      </c>
      <c r="U38" s="28"/>
      <c r="V38" s="28"/>
      <c r="W38" s="28"/>
      <c r="X38" s="28"/>
      <c r="Y38" s="28"/>
      <c r="Z38" s="25" t="s">
        <v>141</v>
      </c>
    </row>
    <row r="39" customFormat="false" ht="79.5" hidden="false" customHeight="true" outlineLevel="0" collapsed="false">
      <c r="A39" s="24" t="n">
        <v>3</v>
      </c>
      <c r="B39" s="24" t="s">
        <v>101</v>
      </c>
      <c r="C39" s="24" t="s">
        <v>130</v>
      </c>
      <c r="D39" s="24" t="s">
        <v>131</v>
      </c>
      <c r="E39" s="24" t="n">
        <v>1</v>
      </c>
      <c r="F39" s="24" t="n">
        <v>14221</v>
      </c>
      <c r="G39" s="24" t="str">
        <f aca="false">IF(H39=0,"S","N")</f>
        <v>S</v>
      </c>
      <c r="H39" s="24" t="n">
        <v>0</v>
      </c>
      <c r="I39" s="24" t="n">
        <v>5</v>
      </c>
      <c r="J39" s="24" t="n">
        <v>1</v>
      </c>
      <c r="K39" s="24" t="n">
        <v>5</v>
      </c>
      <c r="L39" s="24" t="s">
        <v>132</v>
      </c>
      <c r="M39" s="25" t="s">
        <v>146</v>
      </c>
      <c r="N39" s="1" t="s">
        <v>147</v>
      </c>
      <c r="O39" s="26" t="n">
        <v>14219</v>
      </c>
      <c r="P39" s="26" t="n">
        <v>302</v>
      </c>
      <c r="Q39" s="26" t="n">
        <v>0</v>
      </c>
      <c r="R39" s="27" t="n">
        <f aca="false">IF(P39&gt;0,Q39/P39*100,"")</f>
        <v>0</v>
      </c>
      <c r="S39" s="26" t="n">
        <v>3950</v>
      </c>
      <c r="T39" s="26" t="s">
        <v>54</v>
      </c>
      <c r="U39" s="28"/>
      <c r="V39" s="28"/>
      <c r="W39" s="28"/>
      <c r="X39" s="28"/>
      <c r="Y39" s="28"/>
      <c r="Z39" s="25"/>
    </row>
    <row r="40" customFormat="false" ht="90.75" hidden="false" customHeight="true" outlineLevel="0" collapsed="false">
      <c r="A40" s="24" t="n">
        <v>3</v>
      </c>
      <c r="B40" s="24" t="s">
        <v>101</v>
      </c>
      <c r="C40" s="24" t="s">
        <v>130</v>
      </c>
      <c r="D40" s="24" t="s">
        <v>131</v>
      </c>
      <c r="E40" s="24" t="n">
        <v>2</v>
      </c>
      <c r="F40" s="24" t="n">
        <v>14567</v>
      </c>
      <c r="G40" s="24" t="str">
        <f aca="false">IF(H40=0,"S","N")</f>
        <v>S</v>
      </c>
      <c r="H40" s="24" t="n">
        <v>0</v>
      </c>
      <c r="I40" s="24" t="n">
        <v>5</v>
      </c>
      <c r="J40" s="24" t="n">
        <v>1</v>
      </c>
      <c r="K40" s="24" t="n">
        <v>4</v>
      </c>
      <c r="L40" s="24" t="s">
        <v>132</v>
      </c>
      <c r="M40" s="25" t="s">
        <v>148</v>
      </c>
      <c r="N40" s="1" t="s">
        <v>149</v>
      </c>
      <c r="O40" s="26" t="n">
        <v>14566</v>
      </c>
      <c r="P40" s="26" t="n">
        <v>342</v>
      </c>
      <c r="Q40" s="26" t="n">
        <v>1</v>
      </c>
      <c r="R40" s="27" t="n">
        <f aca="false">IF(P40&gt;0,Q40/P40*100,"")</f>
        <v>0.292397660818713</v>
      </c>
      <c r="S40" s="26" t="n">
        <v>3996</v>
      </c>
      <c r="T40" s="26" t="s">
        <v>54</v>
      </c>
      <c r="U40" s="28"/>
      <c r="V40" s="28"/>
      <c r="W40" s="28"/>
      <c r="X40" s="28"/>
      <c r="Y40" s="28"/>
      <c r="Z40" s="25"/>
    </row>
    <row r="41" customFormat="false" ht="202.5" hidden="false" customHeight="true" outlineLevel="0" collapsed="false">
      <c r="A41" s="24" t="n">
        <v>4</v>
      </c>
      <c r="B41" s="24" t="s">
        <v>114</v>
      </c>
      <c r="C41" s="24" t="s">
        <v>130</v>
      </c>
      <c r="D41" s="24" t="s">
        <v>131</v>
      </c>
      <c r="E41" s="24" t="n">
        <v>1</v>
      </c>
      <c r="F41" s="24" t="n">
        <v>11772</v>
      </c>
      <c r="G41" s="24" t="str">
        <f aca="false">IF(H41=0,"S","N")</f>
        <v>N</v>
      </c>
      <c r="H41" s="24" t="n">
        <v>1</v>
      </c>
      <c r="I41" s="24" t="n">
        <v>5</v>
      </c>
      <c r="J41" s="24" t="n">
        <v>0</v>
      </c>
      <c r="K41" s="24" t="n">
        <v>4</v>
      </c>
      <c r="L41" s="29" t="n">
        <f aca="false">SUM(U41:Y41)</f>
        <v>3</v>
      </c>
      <c r="M41" s="25" t="s">
        <v>150</v>
      </c>
      <c r="N41" s="1" t="s">
        <v>151</v>
      </c>
      <c r="O41" s="26" t="n">
        <v>11769</v>
      </c>
      <c r="P41" s="26" t="n">
        <v>154</v>
      </c>
      <c r="Q41" s="26" t="n">
        <v>0</v>
      </c>
      <c r="R41" s="27" t="n">
        <f aca="false">IF(P41&gt;0,Q41/P41*100,"")</f>
        <v>0</v>
      </c>
      <c r="S41" s="26" t="n">
        <v>3222</v>
      </c>
      <c r="T41" s="26" t="s">
        <v>54</v>
      </c>
      <c r="U41" s="30" t="n">
        <v>1</v>
      </c>
      <c r="V41" s="30" t="n">
        <v>0.5</v>
      </c>
      <c r="W41" s="30" t="n">
        <v>0.5</v>
      </c>
      <c r="X41" s="30" t="n">
        <v>0</v>
      </c>
      <c r="Y41" s="30" t="n">
        <v>1</v>
      </c>
      <c r="Z41" s="25" t="s">
        <v>152</v>
      </c>
    </row>
    <row r="42" customFormat="false" ht="135.75" hidden="false" customHeight="true" outlineLevel="0" collapsed="false">
      <c r="A42" s="24" t="n">
        <v>4</v>
      </c>
      <c r="B42" s="24" t="s">
        <v>114</v>
      </c>
      <c r="C42" s="24" t="s">
        <v>130</v>
      </c>
      <c r="D42" s="24" t="s">
        <v>131</v>
      </c>
      <c r="E42" s="24" t="n">
        <v>2</v>
      </c>
      <c r="F42" s="24" t="n">
        <v>14388</v>
      </c>
      <c r="G42" s="24" t="str">
        <f aca="false">IF(H42=0,"S","N")</f>
        <v>S</v>
      </c>
      <c r="H42" s="24" t="n">
        <v>0</v>
      </c>
      <c r="I42" s="24" t="n">
        <v>5</v>
      </c>
      <c r="J42" s="24" t="n">
        <v>1</v>
      </c>
      <c r="K42" s="24" t="n">
        <v>3</v>
      </c>
      <c r="L42" s="29" t="n">
        <f aca="false">SUM(U42:Y42)</f>
        <v>2.5</v>
      </c>
      <c r="M42" s="25" t="s">
        <v>153</v>
      </c>
      <c r="N42" s="1" t="s">
        <v>154</v>
      </c>
      <c r="O42" s="26" t="n">
        <v>14385</v>
      </c>
      <c r="P42" s="26" t="n">
        <v>304</v>
      </c>
      <c r="Q42" s="26" t="n">
        <v>1</v>
      </c>
      <c r="R42" s="27" t="n">
        <f aca="false">IF(P42&gt;0,Q42/P42*100,"")</f>
        <v>0.328947368421053</v>
      </c>
      <c r="S42" s="26" t="n">
        <v>3882</v>
      </c>
      <c r="T42" s="26" t="s">
        <v>54</v>
      </c>
      <c r="U42" s="30" t="n">
        <v>1</v>
      </c>
      <c r="V42" s="30" t="n">
        <v>0.5</v>
      </c>
      <c r="W42" s="30" t="n">
        <v>0</v>
      </c>
      <c r="X42" s="30" t="n">
        <v>0</v>
      </c>
      <c r="Y42" s="30" t="n">
        <v>1</v>
      </c>
      <c r="Z42" s="25" t="s">
        <v>155</v>
      </c>
    </row>
    <row r="43" customFormat="false" ht="45.75" hidden="false" customHeight="true" outlineLevel="0" collapsed="false">
      <c r="A43" s="24" t="n">
        <v>0</v>
      </c>
      <c r="B43" s="24" t="s">
        <v>49</v>
      </c>
      <c r="C43" s="24" t="s">
        <v>50</v>
      </c>
      <c r="D43" s="24" t="s">
        <v>51</v>
      </c>
      <c r="E43" s="24" t="n">
        <v>3</v>
      </c>
      <c r="F43" s="24" t="n">
        <v>16348</v>
      </c>
      <c r="G43" s="24" t="str">
        <f aca="false">IF(H43=0,"S","N")</f>
        <v>S</v>
      </c>
      <c r="H43" s="24" t="n">
        <v>0</v>
      </c>
      <c r="I43" s="24" t="n">
        <v>5</v>
      </c>
      <c r="J43" s="24" t="n">
        <v>0</v>
      </c>
      <c r="K43" s="24" t="n">
        <v>5</v>
      </c>
      <c r="L43" s="24" t="s">
        <v>132</v>
      </c>
      <c r="M43" s="25" t="s">
        <v>156</v>
      </c>
      <c r="N43" s="1" t="s">
        <v>157</v>
      </c>
      <c r="O43" s="26" t="n">
        <v>8174</v>
      </c>
      <c r="P43" s="26" t="n">
        <v>118</v>
      </c>
      <c r="Q43" s="26" t="n">
        <v>0</v>
      </c>
      <c r="R43" s="27" t="n">
        <f aca="false">IF(P43&gt;0,Q43/P43*100,"")</f>
        <v>0</v>
      </c>
      <c r="S43" s="26" t="n">
        <v>4161</v>
      </c>
      <c r="T43" s="26" t="s">
        <v>54</v>
      </c>
      <c r="U43" s="28"/>
      <c r="V43" s="28"/>
      <c r="W43" s="28"/>
      <c r="X43" s="28"/>
      <c r="Y43" s="28"/>
      <c r="Z43" s="25"/>
    </row>
    <row r="44" customFormat="false" ht="34.5" hidden="false" customHeight="true" outlineLevel="0" collapsed="false">
      <c r="A44" s="24" t="n">
        <v>0</v>
      </c>
      <c r="B44" s="24" t="s">
        <v>49</v>
      </c>
      <c r="C44" s="24" t="s">
        <v>63</v>
      </c>
      <c r="D44" s="24" t="s">
        <v>158</v>
      </c>
      <c r="E44" s="24" t="n">
        <v>3</v>
      </c>
      <c r="F44" s="24" t="n">
        <v>3421</v>
      </c>
      <c r="G44" s="24" t="str">
        <f aca="false">IF(H44=0,"S","N")</f>
        <v>S</v>
      </c>
      <c r="H44" s="24" t="n">
        <v>0</v>
      </c>
      <c r="I44" s="24" t="n">
        <v>5</v>
      </c>
      <c r="J44" s="24" t="n">
        <v>0</v>
      </c>
      <c r="K44" s="24" t="n">
        <v>5</v>
      </c>
      <c r="L44" s="24" t="s">
        <v>132</v>
      </c>
      <c r="M44" s="25" t="s">
        <v>159</v>
      </c>
      <c r="N44" s="1" t="s">
        <v>160</v>
      </c>
      <c r="O44" s="26" t="n">
        <v>3421</v>
      </c>
      <c r="P44" s="26" t="n">
        <v>45</v>
      </c>
      <c r="Q44" s="26" t="n">
        <v>0</v>
      </c>
      <c r="R44" s="27" t="n">
        <f aca="false">IF(P44&gt;0,Q44/P44*100,"")</f>
        <v>0</v>
      </c>
      <c r="S44" s="26" t="n">
        <v>1859</v>
      </c>
      <c r="T44" s="26" t="n">
        <v>0.2</v>
      </c>
      <c r="U44" s="28"/>
      <c r="V44" s="28"/>
      <c r="W44" s="28"/>
      <c r="X44" s="28"/>
      <c r="Y44" s="28"/>
      <c r="Z44" s="25"/>
    </row>
    <row r="45" customFormat="false" ht="34.5" hidden="false" customHeight="true" outlineLevel="0" collapsed="false">
      <c r="A45" s="24" t="n">
        <v>0</v>
      </c>
      <c r="B45" s="24" t="s">
        <v>49</v>
      </c>
      <c r="C45" s="24" t="s">
        <v>57</v>
      </c>
      <c r="D45" s="24" t="s">
        <v>58</v>
      </c>
      <c r="E45" s="24" t="n">
        <v>3</v>
      </c>
      <c r="F45" s="24" t="n">
        <v>3843</v>
      </c>
      <c r="G45" s="24" t="str">
        <f aca="false">IF(H45=0,"S","N")</f>
        <v>S</v>
      </c>
      <c r="H45" s="24" t="n">
        <v>0</v>
      </c>
      <c r="I45" s="24" t="n">
        <v>5</v>
      </c>
      <c r="J45" s="24" t="n">
        <v>0</v>
      </c>
      <c r="K45" s="24" t="n">
        <v>5</v>
      </c>
      <c r="L45" s="24" t="s">
        <v>132</v>
      </c>
      <c r="M45" s="25" t="s">
        <v>161</v>
      </c>
      <c r="N45" s="1" t="s">
        <v>162</v>
      </c>
      <c r="O45" s="26" t="n">
        <v>3843</v>
      </c>
      <c r="P45" s="26" t="n">
        <v>73</v>
      </c>
      <c r="Q45" s="26" t="n">
        <v>0</v>
      </c>
      <c r="R45" s="27" t="n">
        <f aca="false">IF(P45&gt;0,Q45/P45*100,"")</f>
        <v>0</v>
      </c>
      <c r="S45" s="26" t="n">
        <v>1507</v>
      </c>
      <c r="T45" s="26" t="s">
        <v>54</v>
      </c>
      <c r="U45" s="28"/>
      <c r="V45" s="28"/>
      <c r="W45" s="28"/>
      <c r="X45" s="28"/>
      <c r="Y45" s="28"/>
      <c r="Z45" s="25"/>
    </row>
    <row r="46" customFormat="false" ht="34.5" hidden="false" customHeight="true" outlineLevel="0" collapsed="false">
      <c r="A46" s="24" t="n">
        <v>0</v>
      </c>
      <c r="B46" s="24" t="s">
        <v>49</v>
      </c>
      <c r="C46" s="24" t="s">
        <v>130</v>
      </c>
      <c r="D46" s="24" t="s">
        <v>131</v>
      </c>
      <c r="E46" s="24" t="n">
        <v>3</v>
      </c>
      <c r="F46" s="24" t="n">
        <v>6146</v>
      </c>
      <c r="G46" s="24" t="str">
        <f aca="false">IF(H46=0,"S","N")</f>
        <v>S</v>
      </c>
      <c r="H46" s="24" t="n">
        <v>0</v>
      </c>
      <c r="I46" s="24" t="n">
        <v>5</v>
      </c>
      <c r="J46" s="24" t="n">
        <v>0</v>
      </c>
      <c r="K46" s="24" t="n">
        <v>5</v>
      </c>
      <c r="L46" s="24" t="s">
        <v>132</v>
      </c>
      <c r="M46" s="25" t="s">
        <v>163</v>
      </c>
      <c r="N46" s="1" t="s">
        <v>164</v>
      </c>
      <c r="O46" s="26" t="n">
        <v>6141</v>
      </c>
      <c r="P46" s="26" t="n">
        <v>95</v>
      </c>
      <c r="Q46" s="26" t="n">
        <v>0</v>
      </c>
      <c r="R46" s="27" t="n">
        <f aca="false">IF(P46&gt;0,Q46/P46*100,"")</f>
        <v>0</v>
      </c>
      <c r="S46" s="26" t="n">
        <v>1738</v>
      </c>
      <c r="T46" s="26" t="s">
        <v>54</v>
      </c>
      <c r="U46" s="28"/>
      <c r="V46" s="28"/>
      <c r="W46" s="28"/>
      <c r="X46" s="28"/>
      <c r="Y46" s="28"/>
      <c r="Z46" s="25"/>
    </row>
    <row r="47" customFormat="false" ht="45.75" hidden="false" customHeight="true" outlineLevel="0" collapsed="false">
      <c r="A47" s="24" t="n">
        <v>1</v>
      </c>
      <c r="B47" s="24" t="s">
        <v>71</v>
      </c>
      <c r="C47" s="24" t="s">
        <v>50</v>
      </c>
      <c r="D47" s="24" t="s">
        <v>51</v>
      </c>
      <c r="E47" s="24" t="n">
        <v>3</v>
      </c>
      <c r="F47" s="24" t="n">
        <v>16263</v>
      </c>
      <c r="G47" s="24" t="str">
        <f aca="false">IF(H47=0,"S","N")</f>
        <v>S</v>
      </c>
      <c r="H47" s="24" t="n">
        <v>0</v>
      </c>
      <c r="I47" s="24" t="n">
        <v>5</v>
      </c>
      <c r="J47" s="24" t="n">
        <v>0</v>
      </c>
      <c r="K47" s="24" t="n">
        <v>5</v>
      </c>
      <c r="L47" s="24" t="s">
        <v>132</v>
      </c>
      <c r="M47" s="25" t="s">
        <v>165</v>
      </c>
      <c r="N47" s="1" t="s">
        <v>166</v>
      </c>
      <c r="O47" s="26" t="n">
        <v>16263</v>
      </c>
      <c r="P47" s="26" t="n">
        <v>366</v>
      </c>
      <c r="Q47" s="26" t="n">
        <v>0</v>
      </c>
      <c r="R47" s="27" t="n">
        <f aca="false">IF(P47&gt;0,Q47/P47*100,"")</f>
        <v>0</v>
      </c>
      <c r="S47" s="26" t="n">
        <v>7720</v>
      </c>
      <c r="T47" s="26" t="s">
        <v>54</v>
      </c>
      <c r="U47" s="28"/>
      <c r="V47" s="28"/>
      <c r="W47" s="28"/>
      <c r="X47" s="28"/>
      <c r="Y47" s="28"/>
      <c r="Z47" s="25"/>
    </row>
    <row r="48" customFormat="false" ht="57" hidden="false" customHeight="true" outlineLevel="0" collapsed="false">
      <c r="A48" s="24" t="n">
        <v>1</v>
      </c>
      <c r="B48" s="24" t="s">
        <v>71</v>
      </c>
      <c r="C48" s="24" t="s">
        <v>63</v>
      </c>
      <c r="D48" s="24" t="s">
        <v>158</v>
      </c>
      <c r="E48" s="24" t="n">
        <v>3</v>
      </c>
      <c r="F48" s="24" t="n">
        <v>8189</v>
      </c>
      <c r="G48" s="24" t="str">
        <f aca="false">IF(H48=0,"S","N")</f>
        <v>S</v>
      </c>
      <c r="H48" s="24" t="n">
        <v>0</v>
      </c>
      <c r="I48" s="24" t="n">
        <v>5</v>
      </c>
      <c r="J48" s="24" t="n">
        <v>0</v>
      </c>
      <c r="K48" s="24" t="n">
        <v>4</v>
      </c>
      <c r="L48" s="24" t="s">
        <v>132</v>
      </c>
      <c r="M48" s="25" t="s">
        <v>167</v>
      </c>
      <c r="N48" s="1" t="s">
        <v>168</v>
      </c>
      <c r="O48" s="26" t="n">
        <v>8189</v>
      </c>
      <c r="P48" s="26" t="n">
        <v>211</v>
      </c>
      <c r="Q48" s="26" t="n">
        <v>0</v>
      </c>
      <c r="R48" s="27" t="n">
        <f aca="false">IF(P48&gt;0,Q48/P48*100,"")</f>
        <v>0</v>
      </c>
      <c r="S48" s="26" t="n">
        <v>3758</v>
      </c>
      <c r="T48" s="26" t="n">
        <v>0.2</v>
      </c>
      <c r="U48" s="28"/>
      <c r="V48" s="28"/>
      <c r="W48" s="28"/>
      <c r="X48" s="28"/>
      <c r="Y48" s="28"/>
      <c r="Z48" s="25"/>
    </row>
    <row r="49" customFormat="false" ht="45.75" hidden="false" customHeight="true" outlineLevel="0" collapsed="false">
      <c r="A49" s="24" t="n">
        <v>1</v>
      </c>
      <c r="B49" s="24" t="s">
        <v>71</v>
      </c>
      <c r="C49" s="24" t="s">
        <v>57</v>
      </c>
      <c r="D49" s="24" t="s">
        <v>58</v>
      </c>
      <c r="E49" s="24" t="n">
        <v>3</v>
      </c>
      <c r="F49" s="24" t="n">
        <v>23557</v>
      </c>
      <c r="G49" s="24" t="str">
        <f aca="false">IF(H49=0,"S","N")</f>
        <v>S</v>
      </c>
      <c r="H49" s="24" t="n">
        <v>0</v>
      </c>
      <c r="I49" s="24" t="n">
        <v>5</v>
      </c>
      <c r="J49" s="24" t="n">
        <v>0</v>
      </c>
      <c r="K49" s="24" t="n">
        <v>5</v>
      </c>
      <c r="L49" s="24" t="s">
        <v>132</v>
      </c>
      <c r="M49" s="25" t="s">
        <v>169</v>
      </c>
      <c r="N49" s="1" t="s">
        <v>170</v>
      </c>
      <c r="O49" s="26" t="n">
        <v>23557</v>
      </c>
      <c r="P49" s="26" t="n">
        <v>675</v>
      </c>
      <c r="Q49" s="26" t="n">
        <v>0</v>
      </c>
      <c r="R49" s="27" t="n">
        <f aca="false">IF(P49&gt;0,Q49/P49*100,"")</f>
        <v>0</v>
      </c>
      <c r="S49" s="26" t="n">
        <v>7543</v>
      </c>
      <c r="T49" s="26" t="s">
        <v>54</v>
      </c>
      <c r="U49" s="28"/>
      <c r="V49" s="28"/>
      <c r="W49" s="28"/>
      <c r="X49" s="28"/>
      <c r="Y49" s="28"/>
      <c r="Z49" s="25"/>
    </row>
    <row r="50" customFormat="false" ht="79.5" hidden="false" customHeight="true" outlineLevel="0" collapsed="false">
      <c r="A50" s="24" t="n">
        <v>1</v>
      </c>
      <c r="B50" s="24" t="s">
        <v>71</v>
      </c>
      <c r="C50" s="24" t="s">
        <v>130</v>
      </c>
      <c r="D50" s="24" t="s">
        <v>131</v>
      </c>
      <c r="E50" s="24" t="n">
        <v>3</v>
      </c>
      <c r="F50" s="24" t="n">
        <v>13266</v>
      </c>
      <c r="G50" s="24" t="str">
        <f aca="false">IF(H50=0,"S","N")</f>
        <v>N</v>
      </c>
      <c r="H50" s="24" t="n">
        <v>2</v>
      </c>
      <c r="I50" s="24" t="n">
        <v>5</v>
      </c>
      <c r="J50" s="24" t="n">
        <v>0</v>
      </c>
      <c r="K50" s="24" t="n">
        <v>4</v>
      </c>
      <c r="L50" s="24" t="s">
        <v>132</v>
      </c>
      <c r="M50" s="25" t="s">
        <v>171</v>
      </c>
      <c r="N50" s="1" t="s">
        <v>172</v>
      </c>
      <c r="O50" s="26" t="n">
        <v>13265</v>
      </c>
      <c r="P50" s="26" t="n">
        <v>264</v>
      </c>
      <c r="Q50" s="26" t="n">
        <v>0</v>
      </c>
      <c r="R50" s="27" t="n">
        <f aca="false">IF(P50&gt;0,Q50/P50*100,"")</f>
        <v>0</v>
      </c>
      <c r="S50" s="26" t="n">
        <v>3561</v>
      </c>
      <c r="T50" s="26" t="s">
        <v>54</v>
      </c>
      <c r="U50" s="28"/>
      <c r="V50" s="28"/>
      <c r="W50" s="28"/>
      <c r="X50" s="28"/>
      <c r="Y50" s="28"/>
      <c r="Z50" s="25" t="s">
        <v>141</v>
      </c>
    </row>
    <row r="51" customFormat="false" ht="23.25" hidden="false" customHeight="true" outlineLevel="0" collapsed="false">
      <c r="A51" s="24" t="n">
        <v>2</v>
      </c>
      <c r="B51" s="24" t="s">
        <v>85</v>
      </c>
      <c r="C51" s="24" t="s">
        <v>50</v>
      </c>
      <c r="D51" s="24" t="s">
        <v>51</v>
      </c>
      <c r="E51" s="24" t="n">
        <v>3</v>
      </c>
      <c r="F51" s="24" t="n">
        <v>19857</v>
      </c>
      <c r="G51" s="24" t="str">
        <f aca="false">IF(H51=0,"S","N")</f>
        <v>S</v>
      </c>
      <c r="H51" s="24" t="n">
        <v>0</v>
      </c>
      <c r="I51" s="24" t="n">
        <v>5</v>
      </c>
      <c r="J51" s="24" t="n">
        <v>1</v>
      </c>
      <c r="K51" s="24" t="n">
        <v>5</v>
      </c>
      <c r="L51" s="24" t="s">
        <v>132</v>
      </c>
      <c r="M51" s="25" t="s">
        <v>173</v>
      </c>
      <c r="N51" s="1" t="s">
        <v>174</v>
      </c>
      <c r="O51" s="26" t="n">
        <v>13200</v>
      </c>
      <c r="P51" s="26" t="n">
        <v>217</v>
      </c>
      <c r="Q51" s="26" t="n">
        <v>0</v>
      </c>
      <c r="R51" s="27" t="n">
        <f aca="false">IF(P51&gt;0,Q51/P51*100,"")</f>
        <v>0</v>
      </c>
      <c r="S51" s="26" t="n">
        <v>6619</v>
      </c>
      <c r="T51" s="26" t="s">
        <v>54</v>
      </c>
      <c r="U51" s="28"/>
      <c r="V51" s="28"/>
      <c r="W51" s="28"/>
      <c r="X51" s="28"/>
      <c r="Y51" s="28"/>
      <c r="Z51" s="25"/>
    </row>
    <row r="52" customFormat="false" ht="45.75" hidden="false" customHeight="true" outlineLevel="0" collapsed="false">
      <c r="A52" s="24" t="n">
        <v>2</v>
      </c>
      <c r="B52" s="24" t="s">
        <v>85</v>
      </c>
      <c r="C52" s="24" t="s">
        <v>63</v>
      </c>
      <c r="D52" s="24" t="s">
        <v>158</v>
      </c>
      <c r="E52" s="24" t="n">
        <v>3</v>
      </c>
      <c r="F52" s="24" t="n">
        <v>6999</v>
      </c>
      <c r="G52" s="24" t="str">
        <f aca="false">IF(H52=0,"S","N")</f>
        <v>S</v>
      </c>
      <c r="H52" s="24" t="n">
        <v>0</v>
      </c>
      <c r="I52" s="24" t="n">
        <v>5</v>
      </c>
      <c r="J52" s="24" t="n">
        <v>0</v>
      </c>
      <c r="K52" s="24" t="n">
        <v>5</v>
      </c>
      <c r="L52" s="24" t="s">
        <v>132</v>
      </c>
      <c r="M52" s="25" t="s">
        <v>175</v>
      </c>
      <c r="N52" s="1" t="s">
        <v>176</v>
      </c>
      <c r="O52" s="26" t="n">
        <v>6999</v>
      </c>
      <c r="P52" s="26" t="n">
        <v>146</v>
      </c>
      <c r="Q52" s="26" t="n">
        <v>0</v>
      </c>
      <c r="R52" s="27" t="n">
        <f aca="false">IF(P52&gt;0,Q52/P52*100,"")</f>
        <v>0</v>
      </c>
      <c r="S52" s="26" t="n">
        <v>3302</v>
      </c>
      <c r="T52" s="26" t="n">
        <v>0.2</v>
      </c>
      <c r="U52" s="28"/>
      <c r="V52" s="28"/>
      <c r="W52" s="28"/>
      <c r="X52" s="28"/>
      <c r="Y52" s="28"/>
      <c r="Z52" s="25"/>
    </row>
    <row r="53" customFormat="false" ht="34.5" hidden="false" customHeight="true" outlineLevel="0" collapsed="false">
      <c r="A53" s="24" t="n">
        <v>2</v>
      </c>
      <c r="B53" s="24" t="s">
        <v>85</v>
      </c>
      <c r="C53" s="24" t="s">
        <v>57</v>
      </c>
      <c r="D53" s="24" t="s">
        <v>58</v>
      </c>
      <c r="E53" s="24" t="n">
        <v>3</v>
      </c>
      <c r="F53" s="24" t="n">
        <v>15580</v>
      </c>
      <c r="G53" s="24" t="str">
        <f aca="false">IF(H53=0,"S","N")</f>
        <v>S</v>
      </c>
      <c r="H53" s="24" t="n">
        <v>0</v>
      </c>
      <c r="I53" s="24" t="n">
        <v>5</v>
      </c>
      <c r="J53" s="24" t="n">
        <v>1</v>
      </c>
      <c r="K53" s="24" t="n">
        <v>5</v>
      </c>
      <c r="L53" s="24" t="s">
        <v>132</v>
      </c>
      <c r="M53" s="25" t="s">
        <v>177</v>
      </c>
      <c r="N53" s="1" t="s">
        <v>178</v>
      </c>
      <c r="O53" s="26" t="n">
        <v>15580</v>
      </c>
      <c r="P53" s="26" t="n">
        <v>458</v>
      </c>
      <c r="Q53" s="26" t="n">
        <v>0</v>
      </c>
      <c r="R53" s="27" t="n">
        <f aca="false">IF(P53&gt;0,Q53/P53*100,"")</f>
        <v>0</v>
      </c>
      <c r="S53" s="26" t="n">
        <v>5868</v>
      </c>
      <c r="T53" s="26" t="s">
        <v>54</v>
      </c>
      <c r="U53" s="28"/>
      <c r="V53" s="28"/>
      <c r="W53" s="28"/>
      <c r="X53" s="28"/>
      <c r="Y53" s="28"/>
      <c r="Z53" s="25"/>
    </row>
    <row r="54" customFormat="false" ht="90.75" hidden="false" customHeight="true" outlineLevel="0" collapsed="false">
      <c r="A54" s="24" t="n">
        <v>2</v>
      </c>
      <c r="B54" s="24" t="s">
        <v>85</v>
      </c>
      <c r="C54" s="24" t="s">
        <v>130</v>
      </c>
      <c r="D54" s="24" t="s">
        <v>131</v>
      </c>
      <c r="E54" s="24" t="n">
        <v>3</v>
      </c>
      <c r="F54" s="24" t="n">
        <v>12082</v>
      </c>
      <c r="G54" s="24" t="str">
        <f aca="false">IF(H54=0,"S","N")</f>
        <v>N</v>
      </c>
      <c r="H54" s="24" t="n">
        <v>2</v>
      </c>
      <c r="I54" s="24" t="n">
        <v>5</v>
      </c>
      <c r="J54" s="24" t="n">
        <v>0</v>
      </c>
      <c r="K54" s="24" t="n">
        <v>4</v>
      </c>
      <c r="L54" s="24" t="s">
        <v>132</v>
      </c>
      <c r="M54" s="25" t="s">
        <v>179</v>
      </c>
      <c r="N54" s="1" t="s">
        <v>180</v>
      </c>
      <c r="O54" s="26" t="n">
        <v>12073</v>
      </c>
      <c r="P54" s="26" t="n">
        <v>203</v>
      </c>
      <c r="Q54" s="26" t="n">
        <v>0</v>
      </c>
      <c r="R54" s="27" t="n">
        <f aca="false">IF(P54&gt;0,Q54/P54*100,"")</f>
        <v>0</v>
      </c>
      <c r="S54" s="26" t="n">
        <v>3239</v>
      </c>
      <c r="T54" s="26" t="s">
        <v>54</v>
      </c>
      <c r="U54" s="28"/>
      <c r="V54" s="28"/>
      <c r="W54" s="28"/>
      <c r="X54" s="28"/>
      <c r="Y54" s="28"/>
      <c r="Z54" s="25" t="s">
        <v>141</v>
      </c>
    </row>
    <row r="55" customFormat="false" ht="34.5" hidden="false" customHeight="true" outlineLevel="0" collapsed="false">
      <c r="A55" s="24" t="n">
        <v>3</v>
      </c>
      <c r="B55" s="24" t="s">
        <v>101</v>
      </c>
      <c r="C55" s="24" t="s">
        <v>50</v>
      </c>
      <c r="D55" s="24" t="s">
        <v>51</v>
      </c>
      <c r="E55" s="24" t="n">
        <v>3</v>
      </c>
      <c r="F55" s="24" t="n">
        <v>18873</v>
      </c>
      <c r="G55" s="24" t="str">
        <f aca="false">IF(H55=0,"S","N")</f>
        <v>S</v>
      </c>
      <c r="H55" s="24" t="n">
        <v>0</v>
      </c>
      <c r="I55" s="24" t="n">
        <v>5</v>
      </c>
      <c r="J55" s="24" t="n">
        <v>1</v>
      </c>
      <c r="K55" s="24" t="n">
        <v>5</v>
      </c>
      <c r="L55" s="24" t="s">
        <v>132</v>
      </c>
      <c r="M55" s="25" t="s">
        <v>181</v>
      </c>
      <c r="N55" s="1" t="s">
        <v>182</v>
      </c>
      <c r="O55" s="26" t="n">
        <v>18873</v>
      </c>
      <c r="P55" s="26" t="n">
        <v>333</v>
      </c>
      <c r="Q55" s="26" t="n">
        <v>1</v>
      </c>
      <c r="R55" s="27" t="n">
        <f aca="false">IF(P55&gt;0,Q55/P55*100,"")</f>
        <v>0.3003003003003</v>
      </c>
      <c r="S55" s="26" t="n">
        <v>8749</v>
      </c>
      <c r="T55" s="26" t="s">
        <v>54</v>
      </c>
      <c r="U55" s="28"/>
      <c r="V55" s="28"/>
      <c r="W55" s="28"/>
      <c r="X55" s="28"/>
      <c r="Y55" s="28"/>
      <c r="Z55" s="25"/>
    </row>
    <row r="56" customFormat="false" ht="90.75" hidden="false" customHeight="true" outlineLevel="0" collapsed="false">
      <c r="A56" s="24" t="n">
        <v>3</v>
      </c>
      <c r="B56" s="24" t="s">
        <v>101</v>
      </c>
      <c r="C56" s="24" t="s">
        <v>63</v>
      </c>
      <c r="D56" s="24" t="s">
        <v>158</v>
      </c>
      <c r="E56" s="24" t="n">
        <v>3</v>
      </c>
      <c r="F56" s="24" t="n">
        <v>10857</v>
      </c>
      <c r="G56" s="24" t="str">
        <f aca="false">IF(H56=0,"S","N")</f>
        <v>S</v>
      </c>
      <c r="H56" s="24" t="n">
        <v>0</v>
      </c>
      <c r="I56" s="24" t="n">
        <v>5</v>
      </c>
      <c r="J56" s="24" t="n">
        <v>2</v>
      </c>
      <c r="K56" s="24" t="n">
        <v>4</v>
      </c>
      <c r="L56" s="24" t="s">
        <v>132</v>
      </c>
      <c r="M56" s="25" t="s">
        <v>183</v>
      </c>
      <c r="N56" s="1" t="s">
        <v>184</v>
      </c>
      <c r="O56" s="26" t="n">
        <v>10857</v>
      </c>
      <c r="P56" s="26" t="n">
        <v>151</v>
      </c>
      <c r="Q56" s="26" t="n">
        <v>0</v>
      </c>
      <c r="R56" s="27" t="n">
        <f aca="false">IF(P56&gt;0,Q56/P56*100,"")</f>
        <v>0</v>
      </c>
      <c r="S56" s="26" t="n">
        <v>4225</v>
      </c>
      <c r="T56" s="26" t="n">
        <v>0.2</v>
      </c>
      <c r="U56" s="28"/>
      <c r="V56" s="28"/>
      <c r="W56" s="28"/>
      <c r="X56" s="28"/>
      <c r="Y56" s="28"/>
      <c r="Z56" s="25"/>
    </row>
    <row r="57" customFormat="false" ht="45.75" hidden="false" customHeight="true" outlineLevel="0" collapsed="false">
      <c r="A57" s="24" t="n">
        <v>3</v>
      </c>
      <c r="B57" s="24" t="s">
        <v>101</v>
      </c>
      <c r="C57" s="24" t="s">
        <v>57</v>
      </c>
      <c r="D57" s="24" t="s">
        <v>58</v>
      </c>
      <c r="E57" s="24" t="n">
        <v>3</v>
      </c>
      <c r="F57" s="24" t="n">
        <v>36307</v>
      </c>
      <c r="G57" s="24" t="str">
        <f aca="false">IF(H57=0,"S","N")</f>
        <v>S</v>
      </c>
      <c r="H57" s="24" t="n">
        <v>0</v>
      </c>
      <c r="I57" s="24" t="n">
        <v>5</v>
      </c>
      <c r="J57" s="24" t="n">
        <v>1</v>
      </c>
      <c r="K57" s="24" t="n">
        <v>5</v>
      </c>
      <c r="L57" s="24" t="s">
        <v>132</v>
      </c>
      <c r="M57" s="25" t="s">
        <v>185</v>
      </c>
      <c r="N57" s="1" t="s">
        <v>186</v>
      </c>
      <c r="O57" s="26" t="n">
        <v>36307</v>
      </c>
      <c r="P57" s="26" t="n">
        <v>772</v>
      </c>
      <c r="Q57" s="26" t="n">
        <v>0</v>
      </c>
      <c r="R57" s="27" t="n">
        <f aca="false">IF(P57&gt;0,Q57/P57*100,"")</f>
        <v>0</v>
      </c>
      <c r="S57" s="26" t="n">
        <v>10341</v>
      </c>
      <c r="T57" s="26" t="s">
        <v>54</v>
      </c>
      <c r="U57" s="28"/>
      <c r="V57" s="28"/>
      <c r="W57" s="28"/>
      <c r="X57" s="28"/>
      <c r="Y57" s="28"/>
      <c r="Z57" s="25"/>
    </row>
    <row r="58" customFormat="false" ht="79.5" hidden="false" customHeight="true" outlineLevel="0" collapsed="false">
      <c r="A58" s="24" t="n">
        <v>3</v>
      </c>
      <c r="B58" s="24" t="s">
        <v>101</v>
      </c>
      <c r="C58" s="24" t="s">
        <v>130</v>
      </c>
      <c r="D58" s="24" t="s">
        <v>131</v>
      </c>
      <c r="E58" s="24" t="n">
        <v>3</v>
      </c>
      <c r="F58" s="24" t="n">
        <v>15766</v>
      </c>
      <c r="G58" s="24" t="str">
        <f aca="false">IF(H58=0,"S","N")</f>
        <v>N</v>
      </c>
      <c r="H58" s="24" t="n">
        <v>1</v>
      </c>
      <c r="I58" s="24" t="n">
        <v>5</v>
      </c>
      <c r="J58" s="24" t="n">
        <v>0</v>
      </c>
      <c r="K58" s="24" t="n">
        <v>4</v>
      </c>
      <c r="L58" s="24" t="s">
        <v>132</v>
      </c>
      <c r="M58" s="25" t="s">
        <v>187</v>
      </c>
      <c r="N58" s="1" t="s">
        <v>188</v>
      </c>
      <c r="O58" s="26" t="n">
        <v>15764</v>
      </c>
      <c r="P58" s="26" t="n">
        <v>288</v>
      </c>
      <c r="Q58" s="26" t="n">
        <v>0</v>
      </c>
      <c r="R58" s="27" t="n">
        <f aca="false">IF(P58&gt;0,Q58/P58*100,"")</f>
        <v>0</v>
      </c>
      <c r="S58" s="26" t="n">
        <v>4342</v>
      </c>
      <c r="T58" s="26" t="s">
        <v>54</v>
      </c>
      <c r="U58" s="28"/>
      <c r="V58" s="28"/>
      <c r="W58" s="28"/>
      <c r="X58" s="28"/>
      <c r="Y58" s="28"/>
      <c r="Z58" s="25" t="s">
        <v>141</v>
      </c>
    </row>
    <row r="59" customFormat="false" ht="135.75" hidden="false" customHeight="true" outlineLevel="0" collapsed="false">
      <c r="A59" s="24" t="n">
        <v>4</v>
      </c>
      <c r="B59" s="24" t="s">
        <v>114</v>
      </c>
      <c r="C59" s="24" t="s">
        <v>50</v>
      </c>
      <c r="D59" s="24" t="s">
        <v>51</v>
      </c>
      <c r="E59" s="24" t="n">
        <v>3</v>
      </c>
      <c r="F59" s="24" t="n">
        <v>18384</v>
      </c>
      <c r="G59" s="24" t="str">
        <f aca="false">IF(H59=0,"S","N")</f>
        <v>S</v>
      </c>
      <c r="H59" s="24" t="n">
        <v>0</v>
      </c>
      <c r="I59" s="24" t="n">
        <v>5</v>
      </c>
      <c r="J59" s="24" t="n">
        <v>1</v>
      </c>
      <c r="K59" s="24" t="n">
        <v>5</v>
      </c>
      <c r="L59" s="29" t="n">
        <f aca="false">SUM(U59:Y59)</f>
        <v>3</v>
      </c>
      <c r="M59" s="25" t="s">
        <v>189</v>
      </c>
      <c r="N59" s="1" t="s">
        <v>190</v>
      </c>
      <c r="O59" s="26" t="n">
        <v>18384</v>
      </c>
      <c r="P59" s="26" t="n">
        <v>337</v>
      </c>
      <c r="Q59" s="26" t="n">
        <v>1</v>
      </c>
      <c r="R59" s="27" t="n">
        <f aca="false">IF(P59&gt;0,Q59/P59*100,"")</f>
        <v>0.29673590504451</v>
      </c>
      <c r="S59" s="26" t="n">
        <v>8073</v>
      </c>
      <c r="T59" s="26" t="s">
        <v>54</v>
      </c>
      <c r="U59" s="30" t="n">
        <v>1</v>
      </c>
      <c r="V59" s="30" t="n">
        <v>0.5</v>
      </c>
      <c r="W59" s="30" t="n">
        <v>0.5</v>
      </c>
      <c r="X59" s="30" t="n">
        <v>0</v>
      </c>
      <c r="Y59" s="30" t="n">
        <v>1</v>
      </c>
      <c r="Z59" s="25" t="s">
        <v>191</v>
      </c>
    </row>
    <row r="60" customFormat="false" ht="113.25" hidden="false" customHeight="true" outlineLevel="0" collapsed="false">
      <c r="A60" s="24" t="n">
        <v>4</v>
      </c>
      <c r="B60" s="24" t="s">
        <v>114</v>
      </c>
      <c r="C60" s="24" t="s">
        <v>63</v>
      </c>
      <c r="D60" s="24" t="s">
        <v>158</v>
      </c>
      <c r="E60" s="24" t="n">
        <v>3</v>
      </c>
      <c r="F60" s="24" t="n">
        <v>14231</v>
      </c>
      <c r="G60" s="24" t="str">
        <f aca="false">IF(H60=0,"S","N")</f>
        <v>S</v>
      </c>
      <c r="H60" s="24" t="n">
        <v>0</v>
      </c>
      <c r="I60" s="24" t="n">
        <v>5</v>
      </c>
      <c r="J60" s="24" t="n">
        <v>2</v>
      </c>
      <c r="K60" s="24" t="n">
        <v>2</v>
      </c>
      <c r="L60" s="29" t="n">
        <f aca="false">SUM(U60:Y60)</f>
        <v>1</v>
      </c>
      <c r="M60" s="25" t="s">
        <v>192</v>
      </c>
      <c r="N60" s="1" t="s">
        <v>193</v>
      </c>
      <c r="O60" s="26" t="n">
        <v>14231</v>
      </c>
      <c r="P60" s="26" t="n">
        <v>124</v>
      </c>
      <c r="Q60" s="26" t="n">
        <v>2</v>
      </c>
      <c r="R60" s="27" t="n">
        <f aca="false">IF(P60&gt;0,Q60/P60*100,"")</f>
        <v>1.61290322580645</v>
      </c>
      <c r="S60" s="26" t="n">
        <v>5298</v>
      </c>
      <c r="T60" s="26" t="n">
        <v>0.2</v>
      </c>
      <c r="U60" s="30" t="n">
        <v>1</v>
      </c>
      <c r="V60" s="30" t="n">
        <v>0</v>
      </c>
      <c r="W60" s="30" t="n">
        <v>0</v>
      </c>
      <c r="X60" s="30" t="n">
        <v>0</v>
      </c>
      <c r="Y60" s="30" t="n">
        <v>0</v>
      </c>
      <c r="Z60" s="25" t="s">
        <v>194</v>
      </c>
    </row>
    <row r="61" customFormat="false" ht="113.25" hidden="false" customHeight="true" outlineLevel="0" collapsed="false">
      <c r="A61" s="24" t="n">
        <v>4</v>
      </c>
      <c r="B61" s="24" t="s">
        <v>114</v>
      </c>
      <c r="C61" s="24" t="s">
        <v>57</v>
      </c>
      <c r="D61" s="24" t="s">
        <v>58</v>
      </c>
      <c r="E61" s="24" t="n">
        <v>3</v>
      </c>
      <c r="F61" s="24" t="n">
        <v>45058</v>
      </c>
      <c r="G61" s="24" t="str">
        <f aca="false">IF(H61=0,"S","N")</f>
        <v>S</v>
      </c>
      <c r="H61" s="24" t="n">
        <v>0</v>
      </c>
      <c r="I61" s="24" t="n">
        <v>5</v>
      </c>
      <c r="J61" s="24" t="n">
        <v>4</v>
      </c>
      <c r="K61" s="24" t="n">
        <v>5</v>
      </c>
      <c r="L61" s="29" t="n">
        <f aca="false">SUM(U61:Y61)</f>
        <v>5</v>
      </c>
      <c r="M61" s="25" t="s">
        <v>195</v>
      </c>
      <c r="N61" s="1" t="s">
        <v>196</v>
      </c>
      <c r="O61" s="26" t="n">
        <v>45058</v>
      </c>
      <c r="P61" s="26" t="n">
        <v>1290</v>
      </c>
      <c r="Q61" s="26" t="n">
        <v>0</v>
      </c>
      <c r="R61" s="27" t="n">
        <f aca="false">IF(P61&gt;0,Q61/P61*100,"")</f>
        <v>0</v>
      </c>
      <c r="S61" s="26" t="n">
        <v>13079</v>
      </c>
      <c r="T61" s="26" t="s">
        <v>54</v>
      </c>
      <c r="U61" s="30" t="n">
        <v>1</v>
      </c>
      <c r="V61" s="30" t="n">
        <v>1</v>
      </c>
      <c r="W61" s="30" t="n">
        <v>1</v>
      </c>
      <c r="X61" s="30" t="n">
        <v>1</v>
      </c>
      <c r="Y61" s="30" t="n">
        <v>1</v>
      </c>
      <c r="Z61" s="25"/>
    </row>
    <row r="62" customFormat="false" ht="57" hidden="false" customHeight="true" outlineLevel="0" collapsed="false">
      <c r="A62" s="24" t="n">
        <v>4</v>
      </c>
      <c r="B62" s="24" t="s">
        <v>114</v>
      </c>
      <c r="C62" s="24" t="s">
        <v>130</v>
      </c>
      <c r="D62" s="24" t="s">
        <v>131</v>
      </c>
      <c r="E62" s="24" t="n">
        <v>3</v>
      </c>
      <c r="F62" s="24" t="n">
        <v>17001</v>
      </c>
      <c r="G62" s="24" t="str">
        <f aca="false">IF(H62=0,"S","N")</f>
        <v>S</v>
      </c>
      <c r="H62" s="24" t="n">
        <v>0</v>
      </c>
      <c r="I62" s="24" t="n">
        <v>5</v>
      </c>
      <c r="J62" s="24" t="n">
        <v>0</v>
      </c>
      <c r="K62" s="24" t="n">
        <v>4</v>
      </c>
      <c r="L62" s="29" t="n">
        <f aca="false">SUM(U62:Y62)</f>
        <v>3</v>
      </c>
      <c r="M62" s="25" t="s">
        <v>197</v>
      </c>
      <c r="N62" s="1" t="s">
        <v>198</v>
      </c>
      <c r="O62" s="26" t="n">
        <v>16998</v>
      </c>
      <c r="P62" s="26" t="n">
        <v>256</v>
      </c>
      <c r="Q62" s="26" t="n">
        <v>0</v>
      </c>
      <c r="R62" s="27" t="n">
        <f aca="false">IF(P62&gt;0,Q62/P62*100,"")</f>
        <v>0</v>
      </c>
      <c r="S62" s="26" t="n">
        <v>4511</v>
      </c>
      <c r="T62" s="26" t="s">
        <v>54</v>
      </c>
      <c r="U62" s="30" t="n">
        <v>1</v>
      </c>
      <c r="V62" s="30" t="n">
        <v>0.5</v>
      </c>
      <c r="W62" s="30" t="n">
        <v>0.5</v>
      </c>
      <c r="X62" s="30" t="n">
        <v>0</v>
      </c>
      <c r="Y62" s="30" t="n">
        <v>1</v>
      </c>
      <c r="Z62" s="25" t="s">
        <v>191</v>
      </c>
    </row>
  </sheetData>
  <mergeCells count="1">
    <mergeCell ref="A1:Z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8"/>
    <col collapsed="false" customWidth="true" hidden="false" outlineLevel="0" max="3" min="3" style="1" width="20"/>
    <col collapsed="false" customWidth="true" hidden="false" outlineLevel="0" max="4" min="4" style="1" width="16"/>
    <col collapsed="false" customWidth="true" hidden="false" outlineLevel="0" max="5" min="5" style="1" width="24"/>
    <col collapsed="false" customWidth="true" hidden="false" outlineLevel="0" max="6" min="6" style="1" width="16"/>
    <col collapsed="false" customWidth="true" hidden="false" outlineLevel="0" max="7" min="7" style="1" width="18"/>
    <col collapsed="false" customWidth="true" hidden="false" outlineLevel="0" max="12" min="8" style="0" width="16"/>
  </cols>
  <sheetData>
    <row r="1" customFormat="false" ht="17.25" hidden="false" customHeight="true" outlineLevel="0" collapsed="false">
      <c r="A1" s="2" t="s">
        <v>199</v>
      </c>
      <c r="B1" s="2"/>
      <c r="C1" s="2"/>
      <c r="D1" s="2"/>
      <c r="E1" s="2"/>
      <c r="F1" s="2"/>
      <c r="G1" s="2"/>
      <c r="H1" s="2"/>
      <c r="I1" s="2"/>
      <c r="J1" s="2"/>
      <c r="K1" s="2"/>
      <c r="L1" s="2"/>
    </row>
    <row r="2" customFormat="false" ht="15" hidden="false" customHeight="true" outlineLevel="0" collapsed="false">
      <c r="A2" s="3" t="s">
        <v>200</v>
      </c>
      <c r="B2" s="3"/>
      <c r="C2" s="3"/>
      <c r="D2" s="3"/>
      <c r="E2" s="3"/>
      <c r="F2" s="3"/>
      <c r="G2" s="3"/>
      <c r="H2" s="3"/>
      <c r="I2" s="3"/>
      <c r="J2" s="3"/>
      <c r="K2" s="3"/>
      <c r="L2" s="3"/>
    </row>
    <row r="4" customFormat="false" ht="23.25" hidden="false" customHeight="true" outlineLevel="0" collapsed="false">
      <c r="A4" s="14" t="s">
        <v>28</v>
      </c>
      <c r="B4" s="14" t="s">
        <v>201</v>
      </c>
      <c r="C4" s="14" t="s">
        <v>202</v>
      </c>
      <c r="D4" s="14" t="s">
        <v>203</v>
      </c>
      <c r="E4" s="14" t="s">
        <v>204</v>
      </c>
      <c r="F4" s="14" t="s">
        <v>205</v>
      </c>
      <c r="G4" s="14" t="s">
        <v>206</v>
      </c>
      <c r="H4" s="14" t="s">
        <v>207</v>
      </c>
      <c r="I4" s="14" t="s">
        <v>208</v>
      </c>
      <c r="J4" s="14" t="s">
        <v>209</v>
      </c>
      <c r="K4" s="14" t="s">
        <v>210</v>
      </c>
      <c r="L4" s="14" t="s">
        <v>211</v>
      </c>
    </row>
    <row r="5" customFormat="false" ht="15" hidden="false" customHeight="true" outlineLevel="0" collapsed="false">
      <c r="A5" s="15" t="s">
        <v>50</v>
      </c>
      <c r="B5" s="31" t="n">
        <f aca="false">IFERROR(COUNTIFS(Avaliacao!C3:C62,A5,Avaliacao!G3:G62,"S")/COUNTIFS(Avaliacao!C3:C62,A5,Avaliacao!G3:G62,"&lt;&gt;")*100,"")</f>
        <v>100</v>
      </c>
      <c r="C5" s="32" t="n">
        <f aca="false">IFERROR(AVERAGEIFS(Avaliacao!H3:H62,Avaliacao!C3:C62,A5),"")</f>
        <v>0</v>
      </c>
      <c r="D5" s="32" t="n">
        <f aca="false">IFERROR(AVERAGEIFS(Avaliacao!I3:I62,Avaliacao!C3:C62,A5),"")</f>
        <v>5</v>
      </c>
      <c r="E5" s="32" t="n">
        <f aca="false">IFERROR(AVERAGEIFS(Avaliacao!J3:J62,Avaliacao!C3:C62,A5),"")</f>
        <v>1.2</v>
      </c>
      <c r="F5" s="32" t="n">
        <f aca="false">IFERROR(AVERAGEIFS(Avaliacao!K3:K62,Avaliacao!C3:C62,A5),"")</f>
        <v>4.86666666666667</v>
      </c>
      <c r="G5" s="32" t="n">
        <f aca="false">IFERROR(AVERAGEIFS(Avaliacao!L3:L62,Avaliacao!C3:C62,A5,Avaliacao!A3:A62,4),"")</f>
        <v>3</v>
      </c>
      <c r="H5" s="33" t="n">
        <f aca="false">COUNTIFS(Avaliacao!$C$3:$C$62,$A5,Avaliacao!$G$3:$G$62,"S")</f>
        <v>15</v>
      </c>
      <c r="I5" s="33" t="n">
        <f aca="false">SUMIFS(Avaliacao!$H$3:$H$62,Avaliacao!$C$3:$C$62,$A5)</f>
        <v>0</v>
      </c>
      <c r="J5" s="34" t="n">
        <f aca="false">IFERROR(SUMIFS(Avaliacao!$Q$3:$Q$62,Avaliacao!$C$3:$C$62,$A5)/SUMIFS(Avaliacao!$P$3:$P$62,Avaliacao!$C$3:$C$62,$A5)*100,"")</f>
        <v>0.166746069556932</v>
      </c>
      <c r="K5" s="33" t="n">
        <f aca="false">IFERROR(AVERAGEIFS(Avaliacao!$P$3:$P$62,Avaliacao!$C$3:$C$62,$A5),"")</f>
        <v>279.866666666667</v>
      </c>
      <c r="L5" s="33" t="n">
        <f aca="false">IFERROR(AVERAGEIFS(Avaliacao!$S$3:$S$62,Avaliacao!$C$3:$C$62,$A5),"")</f>
        <v>7497</v>
      </c>
    </row>
    <row r="6" customFormat="false" ht="15" hidden="false" customHeight="true" outlineLevel="0" collapsed="false">
      <c r="A6" s="15" t="s">
        <v>57</v>
      </c>
      <c r="B6" s="31" t="n">
        <f aca="false">IFERROR(COUNTIFS(Avaliacao!C3:C62,A6,Avaliacao!G3:G62,"S")/COUNTIFS(Avaliacao!C3:C62,A6,Avaliacao!G3:G62,"&lt;&gt;")*100,"")</f>
        <v>100</v>
      </c>
      <c r="C6" s="32" t="n">
        <f aca="false">IFERROR(AVERAGEIFS(Avaliacao!H3:H62,Avaliacao!C3:C62,A6),"")</f>
        <v>0</v>
      </c>
      <c r="D6" s="32" t="n">
        <f aca="false">IFERROR(AVERAGEIFS(Avaliacao!I3:I62,Avaliacao!C3:C62,A6),"")</f>
        <v>5</v>
      </c>
      <c r="E6" s="32" t="n">
        <f aca="false">IFERROR(AVERAGEIFS(Avaliacao!J3:J62,Avaliacao!C3:C62,A6),"")</f>
        <v>0.866666666666667</v>
      </c>
      <c r="F6" s="32" t="n">
        <f aca="false">IFERROR(AVERAGEIFS(Avaliacao!K3:K62,Avaliacao!C3:C62,A6),"")</f>
        <v>4.93333333333333</v>
      </c>
      <c r="G6" s="32" t="n">
        <f aca="false">IFERROR(AVERAGEIFS(Avaliacao!L3:L62,Avaliacao!C3:C62,A6,Avaliacao!A3:A62,4),"")</f>
        <v>5</v>
      </c>
      <c r="H6" s="33" t="n">
        <f aca="false">COUNTIFS(Avaliacao!$C$3:$C$62,$A6,Avaliacao!$G$3:$G$62,"S")</f>
        <v>15</v>
      </c>
      <c r="I6" s="33" t="n">
        <f aca="false">SUMIFS(Avaliacao!$H$3:$H$62,Avaliacao!$C$3:$C$62,$A6)</f>
        <v>0</v>
      </c>
      <c r="J6" s="34" t="n">
        <f aca="false">IFERROR(SUMIFS(Avaliacao!$Q$3:$Q$62,Avaliacao!$C$3:$C$62,$A6)/SUMIFS(Avaliacao!$P$3:$P$62,Avaliacao!$C$3:$C$62,$A6)*100,"")</f>
        <v>0.0113882245757886</v>
      </c>
      <c r="K6" s="33" t="n">
        <f aca="false">IFERROR(AVERAGEIFS(Avaliacao!$P$3:$P$62,Avaliacao!$C$3:$C$62,$A6),"")</f>
        <v>585.4</v>
      </c>
      <c r="L6" s="33" t="n">
        <f aca="false">IFERROR(AVERAGEIFS(Avaliacao!$S$3:$S$62,Avaliacao!$C$3:$C$62,$A6),"")</f>
        <v>7210.33333333333</v>
      </c>
    </row>
    <row r="7" customFormat="false" ht="15" hidden="false" customHeight="true" outlineLevel="0" collapsed="false">
      <c r="A7" s="15" t="s">
        <v>63</v>
      </c>
      <c r="B7" s="31" t="n">
        <f aca="false">IFERROR(COUNTIFS(Avaliacao!C3:C62,A7,Avaliacao!G3:G62,"S")/COUNTIFS(Avaliacao!C3:C62,A7,Avaliacao!G3:G62,"&lt;&gt;")*100,"")</f>
        <v>86.6666666666667</v>
      </c>
      <c r="C7" s="32" t="n">
        <f aca="false">IFERROR(AVERAGEIFS(Avaliacao!H3:H62,Avaliacao!C3:C62,A7),"")</f>
        <v>0.133333333333333</v>
      </c>
      <c r="D7" s="32" t="n">
        <f aca="false">IFERROR(AVERAGEIFS(Avaliacao!I3:I62,Avaliacao!C3:C62,A7),"")</f>
        <v>4.93333333333333</v>
      </c>
      <c r="E7" s="32" t="n">
        <f aca="false">IFERROR(AVERAGEIFS(Avaliacao!J3:J62,Avaliacao!C3:C62,A7),"")</f>
        <v>0.733333333333333</v>
      </c>
      <c r="F7" s="32" t="n">
        <f aca="false">IFERROR(AVERAGEIFS(Avaliacao!K3:K62,Avaliacao!C3:C62,A7),"")</f>
        <v>3.8</v>
      </c>
      <c r="G7" s="32" t="n">
        <f aca="false">IFERROR(AVERAGEIFS(Avaliacao!L3:L62,Avaliacao!C3:C62,A7,Avaliacao!A3:A62,4),"")</f>
        <v>1.16666666666667</v>
      </c>
      <c r="H7" s="33" t="n">
        <f aca="false">COUNTIFS(Avaliacao!$C$3:$C$62,$A7,Avaliacao!$G$3:$G$62,"S")</f>
        <v>13</v>
      </c>
      <c r="I7" s="33" t="n">
        <f aca="false">SUMIFS(Avaliacao!$H$3:$H$62,Avaliacao!$C$3:$C$62,$A7)</f>
        <v>2</v>
      </c>
      <c r="J7" s="34" t="n">
        <f aca="false">IFERROR(SUMIFS(Avaliacao!$Q$3:$Q$62,Avaliacao!$C$3:$C$62,$A7)/SUMIFS(Avaliacao!$P$3:$P$62,Avaliacao!$C$3:$C$62,$A7)*100,"")</f>
        <v>0.486486486486486</v>
      </c>
      <c r="K7" s="33" t="n">
        <f aca="false">IFERROR(AVERAGEIFS(Avaliacao!$P$3:$P$62,Avaliacao!$C$3:$C$62,$A7),"")</f>
        <v>123.333333333333</v>
      </c>
      <c r="L7" s="33" t="n">
        <f aca="false">IFERROR(AVERAGEIFS(Avaliacao!$S$3:$S$62,Avaliacao!$C$3:$C$62,$A7),"")</f>
        <v>3492.5</v>
      </c>
    </row>
    <row r="8" customFormat="false" ht="15" hidden="false" customHeight="true" outlineLevel="0" collapsed="false">
      <c r="A8" s="35" t="s">
        <v>130</v>
      </c>
      <c r="B8" s="28" t="n">
        <f aca="false">IFERROR(COUNTIFS(Avaliacao!C3:C62,A8,Avaliacao!G3:G62,"S")/COUNTIFS(Avaliacao!C3:C62,A8,Avaliacao!G3:G62,"&lt;&gt;")*100,"")</f>
        <v>53.3333333333333</v>
      </c>
      <c r="C8" s="36" t="n">
        <f aca="false">IFERROR(AVERAGEIFS(Avaliacao!H3:H62,Avaliacao!C3:C62,A8),"")</f>
        <v>0.666666666666667</v>
      </c>
      <c r="D8" s="36" t="n">
        <f aca="false">IFERROR(AVERAGEIFS(Avaliacao!I3:I62,Avaliacao!C3:C62,A8),"")</f>
        <v>5</v>
      </c>
      <c r="E8" s="36" t="n">
        <f aca="false">IFERROR(AVERAGEIFS(Avaliacao!J3:J62,Avaliacao!C3:C62,A8),"")</f>
        <v>0.533333333333333</v>
      </c>
      <c r="F8" s="36" t="n">
        <f aca="false">IFERROR(AVERAGEIFS(Avaliacao!K3:K62,Avaliacao!C3:C62,A8),"")</f>
        <v>4.33333333333333</v>
      </c>
      <c r="G8" s="36" t="n">
        <f aca="false">IFERROR(AVERAGEIFS(Avaliacao!L3:L62,Avaliacao!C3:C62,A8,Avaliacao!A3:A62,4),"")</f>
        <v>2.83333333333333</v>
      </c>
      <c r="H8" s="37" t="n">
        <f aca="false">COUNTIFS(Avaliacao!$C$3:$C$62,$A8,Avaliacao!$G$3:$G$62,"S")</f>
        <v>8</v>
      </c>
      <c r="I8" s="37" t="n">
        <f aca="false">SUMIFS(Avaliacao!$H$3:$H$62,Avaliacao!$C$3:$C$62,$A8)</f>
        <v>10</v>
      </c>
      <c r="J8" s="38" t="n">
        <f aca="false">IFERROR(SUMIFS(Avaliacao!$Q$3:$Q$62,Avaliacao!$C$3:$C$62,$A8)/SUMIFS(Avaliacao!$P$3:$P$62,Avaliacao!$C$3:$C$62,$A8)*100,"")</f>
        <v>0.0879765395894428</v>
      </c>
      <c r="K8" s="37" t="n">
        <f aca="false">IFERROR(AVERAGEIFS(Avaliacao!$P$3:$P$62,Avaliacao!$C$3:$C$62,$A8),"")</f>
        <v>227.333333333333</v>
      </c>
      <c r="L8" s="37" t="n">
        <f aca="false">IFERROR(AVERAGEIFS(Avaliacao!$S$3:$S$62,Avaliacao!$C$3:$C$62,$A8),"")</f>
        <v>3270.8</v>
      </c>
    </row>
  </sheetData>
  <mergeCells count="2">
    <mergeCell ref="A1:L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10" min="2" style="0" width="15"/>
  </cols>
  <sheetData>
    <row r="1" customFormat="false" ht="15" hidden="false" customHeight="false" outlineLevel="0" collapsed="false">
      <c r="A1" s="39" t="s">
        <v>212</v>
      </c>
      <c r="B1" s="39"/>
      <c r="C1" s="39"/>
      <c r="D1" s="39"/>
      <c r="E1" s="39"/>
      <c r="F1" s="39"/>
      <c r="G1" s="39"/>
      <c r="H1" s="39"/>
      <c r="I1" s="39"/>
      <c r="J1" s="39"/>
    </row>
    <row r="2" customFormat="false" ht="15" hidden="false" customHeight="false" outlineLevel="0" collapsed="false">
      <c r="A2" s="40" t="s">
        <v>213</v>
      </c>
      <c r="B2" s="40"/>
      <c r="C2" s="40"/>
      <c r="D2" s="40"/>
      <c r="E2" s="40"/>
      <c r="F2" s="40"/>
      <c r="G2" s="40"/>
      <c r="H2" s="40"/>
      <c r="I2" s="40"/>
      <c r="J2" s="40"/>
    </row>
    <row r="4" customFormat="false" ht="45" hidden="false" customHeight="true" outlineLevel="0" collapsed="false">
      <c r="A4" s="14" t="s">
        <v>214</v>
      </c>
      <c r="B4" s="14" t="s">
        <v>215</v>
      </c>
      <c r="C4" s="14" t="s">
        <v>216</v>
      </c>
      <c r="D4" s="14" t="s">
        <v>217</v>
      </c>
      <c r="E4" s="14" t="s">
        <v>218</v>
      </c>
      <c r="F4" s="14" t="s">
        <v>219</v>
      </c>
      <c r="G4" s="14" t="s">
        <v>220</v>
      </c>
      <c r="H4" s="14" t="s">
        <v>221</v>
      </c>
      <c r="I4" s="14" t="s">
        <v>210</v>
      </c>
      <c r="J4" s="14" t="s">
        <v>222</v>
      </c>
    </row>
    <row r="5" customFormat="false" ht="15" hidden="false" customHeight="false" outlineLevel="0" collapsed="false">
      <c r="A5" s="0" t="n">
        <v>0</v>
      </c>
      <c r="B5" s="41" t="n">
        <f aca="false">AVERAGEIFS(Avaliacao!$I$3:$I$62,Avaliacao!$A$3:$A$62,$A5)</f>
        <v>5</v>
      </c>
      <c r="C5" s="41" t="n">
        <f aca="false">AVERAGEIFS(Avaliacao!$K$3:$K$62,Avaliacao!$A$3:$A$62,$A5,Avaliacao!$C$3:$C$62,"claude")</f>
        <v>5</v>
      </c>
      <c r="D5" s="41" t="n">
        <f aca="false">AVERAGEIFS(Avaliacao!$K$3:$K$62,Avaliacao!$A$3:$A$62,$A5,Avaliacao!$C$3:$C$62,"gpt")</f>
        <v>5</v>
      </c>
      <c r="E5" s="41" t="n">
        <f aca="false">AVERAGEIFS(Avaliacao!$K$3:$K$62,Avaliacao!$A$3:$A$62,$A5,Avaliacao!$C$3:$C$62,"gemini")</f>
        <v>5</v>
      </c>
      <c r="F5" s="41" t="n">
        <f aca="false">AVERAGEIFS(Avaliacao!$K$3:$K$62,Avaliacao!$A$3:$A$62,$A5,Avaliacao!$C$3:$C$62,"groq")</f>
        <v>5</v>
      </c>
      <c r="G5" s="41" t="n">
        <f aca="false">AVERAGEIFS(Avaliacao!$K$3:$K$62,Avaliacao!$A$3:$A$62,$A5)</f>
        <v>5</v>
      </c>
      <c r="H5" s="41" t="n">
        <f aca="false">IFERROR(SUMIFS(Avaliacao!$Q$3:$Q$62,Avaliacao!$A$3:$A$62,$A5)/SUMIFS(Avaliacao!$P$3:$P$62,Avaliacao!$A$3:$A$62,$A5)*100,"")</f>
        <v>0</v>
      </c>
      <c r="I5" s="41" t="n">
        <f aca="false">AVERAGEIFS(Avaliacao!$P$3:$P$62,Avaliacao!$A$3:$A$62,$A5)</f>
        <v>79.5833333333333</v>
      </c>
      <c r="J5" s="42" t="n">
        <f aca="false">SUMIFS(Avaliacao!$H$3:$H$62,Avaliacao!$A$3:$A$62,$A5)</f>
        <v>0</v>
      </c>
    </row>
    <row r="6" customFormat="false" ht="15" hidden="false" customHeight="false" outlineLevel="0" collapsed="false">
      <c r="A6" s="0" t="n">
        <v>1</v>
      </c>
      <c r="B6" s="41" t="n">
        <f aca="false">AVERAGEIFS(Avaliacao!$I$3:$I$62,Avaliacao!$A$3:$A$62,$A6)</f>
        <v>5</v>
      </c>
      <c r="C6" s="41" t="n">
        <f aca="false">AVERAGEIFS(Avaliacao!$K$3:$K$62,Avaliacao!$A$3:$A$62,$A6,Avaliacao!$C$3:$C$62,"claude")</f>
        <v>5</v>
      </c>
      <c r="D6" s="41" t="n">
        <f aca="false">AVERAGEIFS(Avaliacao!$K$3:$K$62,Avaliacao!$A$3:$A$62,$A6,Avaliacao!$C$3:$C$62,"gpt")</f>
        <v>5</v>
      </c>
      <c r="E6" s="41" t="n">
        <f aca="false">AVERAGEIFS(Avaliacao!$K$3:$K$62,Avaliacao!$A$3:$A$62,$A6,Avaliacao!$C$3:$C$62,"gemini")</f>
        <v>4</v>
      </c>
      <c r="F6" s="41" t="n">
        <f aca="false">AVERAGEIFS(Avaliacao!$K$3:$K$62,Avaliacao!$A$3:$A$62,$A6,Avaliacao!$C$3:$C$62,"groq")</f>
        <v>4.33333333333333</v>
      </c>
      <c r="G6" s="41" t="n">
        <f aca="false">AVERAGEIFS(Avaliacao!$K$3:$K$62,Avaliacao!$A$3:$A$62,$A6)</f>
        <v>4.58333333333333</v>
      </c>
      <c r="H6" s="41" t="n">
        <f aca="false">IFERROR(SUMIFS(Avaliacao!$Q$3:$Q$62,Avaliacao!$A$3:$A$62,$A6)/SUMIFS(Avaliacao!$P$3:$P$62,Avaliacao!$A$3:$A$62,$A6)*100,"")</f>
        <v>0</v>
      </c>
      <c r="I6" s="41" t="n">
        <f aca="false">AVERAGEIFS(Avaliacao!$P$3:$P$62,Avaliacao!$A$3:$A$62,$A6)</f>
        <v>354.666666666667</v>
      </c>
      <c r="J6" s="42" t="n">
        <f aca="false">SUMIFS(Avaliacao!$H$3:$H$62,Avaliacao!$A$3:$A$62,$A6)</f>
        <v>6</v>
      </c>
    </row>
    <row r="7" customFormat="false" ht="15" hidden="false" customHeight="false" outlineLevel="0" collapsed="false">
      <c r="A7" s="0" t="n">
        <v>2</v>
      </c>
      <c r="B7" s="41" t="n">
        <f aca="false">AVERAGEIFS(Avaliacao!$I$3:$I$62,Avaliacao!$A$3:$A$62,$A7)</f>
        <v>4.91666666666667</v>
      </c>
      <c r="C7" s="41" t="n">
        <f aca="false">AVERAGEIFS(Avaliacao!$K$3:$K$62,Avaliacao!$A$3:$A$62,$A7,Avaliacao!$C$3:$C$62,"claude")</f>
        <v>5</v>
      </c>
      <c r="D7" s="41" t="n">
        <f aca="false">AVERAGEIFS(Avaliacao!$K$3:$K$62,Avaliacao!$A$3:$A$62,$A7,Avaliacao!$C$3:$C$62,"gpt")</f>
        <v>4.66666666666667</v>
      </c>
      <c r="E7" s="41" t="n">
        <f aca="false">AVERAGEIFS(Avaliacao!$K$3:$K$62,Avaliacao!$A$3:$A$62,$A7,Avaliacao!$C$3:$C$62,"gemini")</f>
        <v>3.66666666666667</v>
      </c>
      <c r="F7" s="41" t="n">
        <f aca="false">AVERAGEIFS(Avaliacao!$K$3:$K$62,Avaliacao!$A$3:$A$62,$A7,Avaliacao!$C$3:$C$62,"groq")</f>
        <v>4.33333333333333</v>
      </c>
      <c r="G7" s="41" t="n">
        <f aca="false">AVERAGEIFS(Avaliacao!$K$3:$K$62,Avaliacao!$A$3:$A$62,$A7)</f>
        <v>4.41666666666667</v>
      </c>
      <c r="H7" s="41" t="n">
        <f aca="false">IFERROR(SUMIFS(Avaliacao!$Q$3:$Q$62,Avaliacao!$A$3:$A$62,$A7)/SUMIFS(Avaliacao!$P$3:$P$62,Avaliacao!$A$3:$A$62,$A7)*100,"")</f>
        <v>0.033311125916056</v>
      </c>
      <c r="I7" s="41" t="n">
        <f aca="false">AVERAGEIFS(Avaliacao!$P$3:$P$62,Avaliacao!$A$3:$A$62,$A7)</f>
        <v>250.166666666667</v>
      </c>
      <c r="J7" s="42" t="n">
        <f aca="false">SUMIFS(Avaliacao!$H$3:$H$62,Avaliacao!$A$3:$A$62,$A7)</f>
        <v>4</v>
      </c>
    </row>
    <row r="8" customFormat="false" ht="15" hidden="false" customHeight="false" outlineLevel="0" collapsed="false">
      <c r="A8" s="0" t="n">
        <v>3</v>
      </c>
      <c r="B8" s="41" t="n">
        <f aca="false">AVERAGEIFS(Avaliacao!$I$3:$I$62,Avaliacao!$A$3:$A$62,$A8)</f>
        <v>5</v>
      </c>
      <c r="C8" s="41" t="n">
        <f aca="false">AVERAGEIFS(Avaliacao!$K$3:$K$62,Avaliacao!$A$3:$A$62,$A8,Avaliacao!$C$3:$C$62,"claude")</f>
        <v>5</v>
      </c>
      <c r="D8" s="41" t="n">
        <f aca="false">AVERAGEIFS(Avaliacao!$K$3:$K$62,Avaliacao!$A$3:$A$62,$A8,Avaliacao!$C$3:$C$62,"gpt")</f>
        <v>5</v>
      </c>
      <c r="E8" s="41" t="n">
        <f aca="false">AVERAGEIFS(Avaliacao!$K$3:$K$62,Avaliacao!$A$3:$A$62,$A8,Avaliacao!$C$3:$C$62,"gemini")</f>
        <v>3.66666666666667</v>
      </c>
      <c r="F8" s="41" t="n">
        <f aca="false">AVERAGEIFS(Avaliacao!$K$3:$K$62,Avaliacao!$A$3:$A$62,$A8,Avaliacao!$C$3:$C$62,"groq")</f>
        <v>4.33333333333333</v>
      </c>
      <c r="G8" s="41" t="n">
        <f aca="false">AVERAGEIFS(Avaliacao!$K$3:$K$62,Avaliacao!$A$3:$A$62,$A8)</f>
        <v>4.5</v>
      </c>
      <c r="H8" s="41" t="n">
        <f aca="false">IFERROR(SUMIFS(Avaliacao!$Q$3:$Q$62,Avaliacao!$A$3:$A$62,$A8)/SUMIFS(Avaliacao!$P$3:$P$62,Avaliacao!$A$3:$A$62,$A8)*100,"")</f>
        <v>0.0465116279069767</v>
      </c>
      <c r="I8" s="41" t="n">
        <f aca="false">AVERAGEIFS(Avaliacao!$P$3:$P$62,Avaliacao!$A$3:$A$62,$A8)</f>
        <v>358.333333333333</v>
      </c>
      <c r="J8" s="42" t="n">
        <f aca="false">SUMIFS(Avaliacao!$H$3:$H$62,Avaliacao!$A$3:$A$62,$A8)</f>
        <v>1</v>
      </c>
    </row>
    <row r="9" customFormat="false" ht="15" hidden="false" customHeight="false" outlineLevel="0" collapsed="false">
      <c r="A9" s="0" t="n">
        <v>4</v>
      </c>
      <c r="B9" s="41" t="n">
        <f aca="false">AVERAGEIFS(Avaliacao!$I$3:$I$62,Avaliacao!$A$3:$A$62,$A9)</f>
        <v>5</v>
      </c>
      <c r="C9" s="41" t="n">
        <f aca="false">AVERAGEIFS(Avaliacao!$K$3:$K$62,Avaliacao!$A$3:$A$62,$A9,Avaliacao!$C$3:$C$62,"claude")</f>
        <v>4.33333333333333</v>
      </c>
      <c r="D9" s="41" t="n">
        <f aca="false">AVERAGEIFS(Avaliacao!$K$3:$K$62,Avaliacao!$A$3:$A$62,$A9,Avaliacao!$C$3:$C$62,"gpt")</f>
        <v>5</v>
      </c>
      <c r="E9" s="41" t="n">
        <f aca="false">AVERAGEIFS(Avaliacao!$K$3:$K$62,Avaliacao!$A$3:$A$62,$A9,Avaliacao!$C$3:$C$62,"gemini")</f>
        <v>2.66666666666667</v>
      </c>
      <c r="F9" s="41" t="n">
        <f aca="false">AVERAGEIFS(Avaliacao!$K$3:$K$62,Avaliacao!$A$3:$A$62,$A9,Avaliacao!$C$3:$C$62,"groq")</f>
        <v>3.66666666666667</v>
      </c>
      <c r="G9" s="41" t="n">
        <f aca="false">AVERAGEIFS(Avaliacao!$K$3:$K$62,Avaliacao!$A$3:$A$62,$A9)</f>
        <v>3.91666666666667</v>
      </c>
      <c r="H9" s="41" t="n">
        <f aca="false">IFERROR(SUMIFS(Avaliacao!$Q$3:$Q$62,Avaliacao!$A$3:$A$62,$A9)/SUMIFS(Avaliacao!$P$3:$P$62,Avaliacao!$A$3:$A$62,$A9)*100,"")</f>
        <v>0.296891372685994</v>
      </c>
      <c r="I9" s="41" t="n">
        <f aca="false">AVERAGEIFS(Avaliacao!$P$3:$P$62,Avaliacao!$A$3:$A$62,$A9)</f>
        <v>477.166666666667</v>
      </c>
      <c r="J9" s="42" t="n">
        <f aca="false">SUMIFS(Avaliacao!$H$3:$H$62,Avaliacao!$A$3:$A$62,$A9)</f>
        <v>1</v>
      </c>
    </row>
  </sheetData>
  <mergeCells count="2">
    <mergeCell ref="A1:J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8"/>
    <col collapsed="false" customWidth="true" hidden="false" outlineLevel="0" max="4" min="3" style="0" width="10"/>
    <col collapsed="false" customWidth="true" hidden="false" outlineLevel="0" max="5" min="5" style="0" width="95"/>
  </cols>
  <sheetData>
    <row r="1" customFormat="false" ht="15" hidden="false" customHeight="false" outlineLevel="0" collapsed="false">
      <c r="A1" s="39" t="s">
        <v>223</v>
      </c>
      <c r="B1" s="39"/>
      <c r="C1" s="39"/>
      <c r="D1" s="39"/>
      <c r="E1" s="39"/>
    </row>
    <row r="2" customFormat="false" ht="61.5" hidden="false" customHeight="true" outlineLevel="0" collapsed="false">
      <c r="A2" s="43" t="s">
        <v>224</v>
      </c>
      <c r="B2" s="43"/>
      <c r="C2" s="43"/>
      <c r="D2" s="43"/>
      <c r="E2" s="43"/>
    </row>
    <row r="4" customFormat="false" ht="15" hidden="false" customHeight="false" outlineLevel="0" collapsed="false">
      <c r="A4" s="44" t="s">
        <v>225</v>
      </c>
      <c r="B4" s="44" t="s">
        <v>226</v>
      </c>
      <c r="C4" s="44" t="s">
        <v>227</v>
      </c>
      <c r="D4" s="44" t="s">
        <v>228</v>
      </c>
      <c r="E4" s="44" t="s">
        <v>229</v>
      </c>
    </row>
    <row r="5" customFormat="false" ht="23.85" hidden="false" customHeight="false" outlineLevel="0" collapsed="false">
      <c r="A5" s="45" t="s">
        <v>230</v>
      </c>
      <c r="B5" s="45" t="s">
        <v>231</v>
      </c>
      <c r="C5" s="45" t="n">
        <v>4</v>
      </c>
      <c r="D5" s="45" t="n">
        <v>5</v>
      </c>
      <c r="E5" s="45" t="s">
        <v>232</v>
      </c>
    </row>
    <row r="6" customFormat="false" ht="15" hidden="false" customHeight="false" outlineLevel="0" collapsed="false">
      <c r="A6" s="45" t="s">
        <v>230</v>
      </c>
      <c r="B6" s="45" t="s">
        <v>233</v>
      </c>
      <c r="C6" s="45" t="n">
        <v>4</v>
      </c>
      <c r="D6" s="45" t="n">
        <v>5</v>
      </c>
      <c r="E6" s="45" t="s">
        <v>234</v>
      </c>
    </row>
    <row r="7" customFormat="false" ht="23.85" hidden="false" customHeight="false" outlineLevel="0" collapsed="false">
      <c r="A7" s="45" t="s">
        <v>235</v>
      </c>
      <c r="B7" s="45" t="s">
        <v>231</v>
      </c>
      <c r="C7" s="45" t="n">
        <v>3</v>
      </c>
      <c r="D7" s="45" t="n">
        <v>5</v>
      </c>
      <c r="E7" s="45" t="s">
        <v>232</v>
      </c>
    </row>
    <row r="8" customFormat="false" ht="15" hidden="false" customHeight="false" outlineLevel="0" collapsed="false">
      <c r="A8" s="45" t="s">
        <v>235</v>
      </c>
      <c r="B8" s="45" t="s">
        <v>233</v>
      </c>
      <c r="C8" s="45" t="n">
        <v>3</v>
      </c>
      <c r="D8" s="45" t="n">
        <v>5</v>
      </c>
      <c r="E8" s="45" t="s">
        <v>236</v>
      </c>
    </row>
    <row r="9" customFormat="false" ht="23.85" hidden="false" customHeight="false" outlineLevel="0" collapsed="false">
      <c r="A9" s="45" t="s">
        <v>237</v>
      </c>
      <c r="B9" s="45" t="s">
        <v>231</v>
      </c>
      <c r="C9" s="45" t="n">
        <v>4</v>
      </c>
      <c r="D9" s="45" t="n">
        <v>5</v>
      </c>
      <c r="E9" s="45" t="s">
        <v>238</v>
      </c>
    </row>
    <row r="10" customFormat="false" ht="23.85" hidden="false" customHeight="false" outlineLevel="0" collapsed="false">
      <c r="A10" s="45" t="s">
        <v>239</v>
      </c>
      <c r="B10" s="45" t="s">
        <v>231</v>
      </c>
      <c r="C10" s="45" t="n">
        <v>3</v>
      </c>
      <c r="D10" s="45" t="n">
        <v>4</v>
      </c>
      <c r="E10" s="45" t="s">
        <v>240</v>
      </c>
    </row>
    <row r="11" customFormat="false" ht="35.05" hidden="false" customHeight="false" outlineLevel="0" collapsed="false">
      <c r="A11" s="45" t="s">
        <v>241</v>
      </c>
      <c r="B11" s="45" t="s">
        <v>231</v>
      </c>
      <c r="C11" s="45" t="n">
        <v>4</v>
      </c>
      <c r="D11" s="45" t="n">
        <v>5</v>
      </c>
      <c r="E11" s="45" t="s">
        <v>242</v>
      </c>
    </row>
    <row r="12" customFormat="false" ht="35.05" hidden="false" customHeight="false" outlineLevel="0" collapsed="false">
      <c r="A12" s="45" t="s">
        <v>243</v>
      </c>
      <c r="B12" s="45" t="s">
        <v>231</v>
      </c>
      <c r="C12" s="45" t="n">
        <v>4</v>
      </c>
      <c r="D12" s="45" t="n">
        <v>5</v>
      </c>
      <c r="E12" s="45" t="s">
        <v>242</v>
      </c>
    </row>
    <row r="13" customFormat="false" ht="23.85" hidden="false" customHeight="false" outlineLevel="0" collapsed="false">
      <c r="A13" s="45" t="s">
        <v>244</v>
      </c>
      <c r="B13" s="45" t="s">
        <v>245</v>
      </c>
      <c r="C13" s="45" t="n">
        <v>0</v>
      </c>
      <c r="D13" s="45" t="n">
        <v>1</v>
      </c>
      <c r="E13" s="45" t="s">
        <v>246</v>
      </c>
    </row>
    <row r="14" customFormat="false" ht="23.85" hidden="false" customHeight="false" outlineLevel="0" collapsed="false">
      <c r="A14" s="45" t="s">
        <v>247</v>
      </c>
      <c r="B14" s="45" t="s">
        <v>245</v>
      </c>
      <c r="C14" s="45" t="n">
        <v>0</v>
      </c>
      <c r="D14" s="45" t="n">
        <v>1</v>
      </c>
      <c r="E14" s="45" t="s">
        <v>246</v>
      </c>
    </row>
    <row r="15" customFormat="false" ht="23.85" hidden="false" customHeight="false" outlineLevel="0" collapsed="false">
      <c r="A15" s="45" t="s">
        <v>248</v>
      </c>
      <c r="B15" s="45" t="s">
        <v>245</v>
      </c>
      <c r="C15" s="45" t="n">
        <v>2</v>
      </c>
      <c r="D15" s="45" t="n">
        <v>1</v>
      </c>
      <c r="E15" s="45" t="s">
        <v>249</v>
      </c>
    </row>
    <row r="16" customFormat="false" ht="23.85" hidden="false" customHeight="false" outlineLevel="0" collapsed="false">
      <c r="A16" s="45" t="s">
        <v>248</v>
      </c>
      <c r="B16" s="45" t="s">
        <v>233</v>
      </c>
      <c r="C16" s="45" t="s">
        <v>250</v>
      </c>
      <c r="D16" s="45" t="n">
        <v>4</v>
      </c>
      <c r="E16" s="45" t="s">
        <v>251</v>
      </c>
    </row>
    <row r="17" customFormat="false" ht="23.85" hidden="false" customHeight="false" outlineLevel="0" collapsed="false">
      <c r="A17" s="45" t="s">
        <v>241</v>
      </c>
      <c r="B17" s="45" t="s">
        <v>252</v>
      </c>
      <c r="C17" s="45" t="n">
        <v>4</v>
      </c>
      <c r="D17" s="45" t="n">
        <v>3</v>
      </c>
      <c r="E17" s="45" t="s">
        <v>253</v>
      </c>
    </row>
    <row r="18" customFormat="false" ht="23.85" hidden="false" customHeight="false" outlineLevel="0" collapsed="false">
      <c r="A18" s="45" t="s">
        <v>243</v>
      </c>
      <c r="B18" s="45" t="s">
        <v>252</v>
      </c>
      <c r="C18" s="45" t="n">
        <v>4</v>
      </c>
      <c r="D18" s="45" t="n">
        <v>3</v>
      </c>
      <c r="E18" s="45" t="s">
        <v>253</v>
      </c>
    </row>
    <row r="19" customFormat="false" ht="23.85" hidden="false" customHeight="false" outlineLevel="0" collapsed="false">
      <c r="A19" s="45" t="s">
        <v>254</v>
      </c>
      <c r="B19" s="45" t="s">
        <v>252</v>
      </c>
      <c r="C19" s="45" t="n">
        <v>4</v>
      </c>
      <c r="D19" s="45" t="n">
        <v>3</v>
      </c>
      <c r="E19" s="45" t="s">
        <v>253</v>
      </c>
    </row>
    <row r="20" customFormat="false" ht="23.85" hidden="false" customHeight="false" outlineLevel="0" collapsed="false">
      <c r="A20" s="45" t="s">
        <v>255</v>
      </c>
      <c r="B20" s="45" t="s">
        <v>252</v>
      </c>
      <c r="C20" s="45" t="n">
        <v>3</v>
      </c>
      <c r="D20" s="45" t="n">
        <v>1</v>
      </c>
      <c r="E20" s="45" t="s">
        <v>253</v>
      </c>
    </row>
    <row r="21" customFormat="false" ht="23.85" hidden="false" customHeight="false" outlineLevel="0" collapsed="false">
      <c r="A21" s="45" t="s">
        <v>256</v>
      </c>
      <c r="B21" s="45" t="s">
        <v>252</v>
      </c>
      <c r="C21" s="45" t="n">
        <v>3</v>
      </c>
      <c r="D21" s="45" t="n">
        <v>1.5</v>
      </c>
      <c r="E21" s="45" t="s">
        <v>253</v>
      </c>
    </row>
    <row r="22" customFormat="false" ht="23.85" hidden="false" customHeight="false" outlineLevel="0" collapsed="false">
      <c r="A22" s="45" t="s">
        <v>257</v>
      </c>
      <c r="B22" s="45" t="s">
        <v>252</v>
      </c>
      <c r="C22" s="45" t="n">
        <v>2</v>
      </c>
      <c r="D22" s="45" t="n">
        <v>1</v>
      </c>
      <c r="E22" s="45" t="s">
        <v>253</v>
      </c>
    </row>
    <row r="23" customFormat="false" ht="23.85" hidden="false" customHeight="false" outlineLevel="0" collapsed="false">
      <c r="A23" s="45" t="s">
        <v>248</v>
      </c>
      <c r="B23" s="45" t="s">
        <v>252</v>
      </c>
      <c r="C23" s="45" t="n">
        <v>4</v>
      </c>
      <c r="D23" s="45" t="n">
        <v>3</v>
      </c>
      <c r="E23" s="45" t="s">
        <v>253</v>
      </c>
    </row>
    <row r="24" customFormat="false" ht="23.85" hidden="false" customHeight="false" outlineLevel="0" collapsed="false">
      <c r="A24" s="45" t="s">
        <v>258</v>
      </c>
      <c r="B24" s="45" t="s">
        <v>252</v>
      </c>
      <c r="C24" s="45" t="n">
        <v>3</v>
      </c>
      <c r="D24" s="45" t="n">
        <v>2.5</v>
      </c>
      <c r="E24" s="45" t="s">
        <v>253</v>
      </c>
    </row>
    <row r="25" customFormat="false" ht="23.85" hidden="false" customHeight="false" outlineLevel="0" collapsed="false">
      <c r="A25" s="45" t="s">
        <v>259</v>
      </c>
      <c r="B25" s="45" t="s">
        <v>252</v>
      </c>
      <c r="C25" s="45" t="n">
        <v>4</v>
      </c>
      <c r="D25" s="45" t="n">
        <v>3</v>
      </c>
      <c r="E25" s="45" t="s">
        <v>253</v>
      </c>
    </row>
    <row r="27" customFormat="false" ht="75" hidden="false" customHeight="true" outlineLevel="0" collapsed="false">
      <c r="A27" s="43" t="s">
        <v>260</v>
      </c>
      <c r="B27" s="43"/>
      <c r="C27" s="43"/>
      <c r="D27" s="43"/>
      <c r="E27" s="43"/>
    </row>
  </sheetData>
  <mergeCells count="3">
    <mergeCell ref="A1:E1"/>
    <mergeCell ref="A2:E2"/>
    <mergeCell ref="A27:E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2026-08-18T22:02:30Z</dcterms:created>
  <dc:creator>openpyxl</dc:creator>
  <dc:description/>
  <dc:language>en-US</dc:language>
  <cp:lastModifiedBy/>
  <dcterms:modified xsi:type="dcterms:W3CDTF">2026-09-28T13:47:16Z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