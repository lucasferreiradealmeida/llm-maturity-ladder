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oes" sheetId="1" state="visible" r:id="rId3"/>
    <sheet name="Avaliacao" sheetId="2" state="visible" r:id="rId4"/>
    <sheet name="Resumo por Provedo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<sst xmlns="http://schemas.openxmlformats.org/spreadsheetml/2006/main" count="407" uniqueCount="148">
  <si>
    <t xml:space="preserve">Rubrica de avaliacao — TCC LLMs x Complexidade Progressiva</t>
  </si>
  <si>
    <t xml:space="preserve">Preencha as celulas amarelas na aba 'Avaliacao' apos revisar cada um dos 30 arquivos em outputs/.</t>
  </si>
  <si>
    <t xml:space="preserve">Coluna</t>
  </si>
  <si>
    <t xml:space="preserve">Como preencher</t>
  </si>
  <si>
    <t xml:space="preserve">Rodou sem erro? (S/N)</t>
  </si>
  <si>
    <t xml:space="preserve">Extraia o codigo do .md, rode de verdade (idealmente em container/ambiente isolado). 'S' se rodou de primeira ou com erro trivial de digitacao; 'N' se precisou de correcao estrutural.</t>
  </si>
  <si>
    <t xml:space="preserve">Nº de correcoes manuais</t>
  </si>
  <si>
    <t xml:space="preserve">Quantas mudancas voce precisou fazer no codigo ate ele funcionar. 0 = rodou de primeira.</t>
  </si>
  <si>
    <t xml:space="preserve">Completude (0-5)</t>
  </si>
  <si>
    <t xml:space="preserve">0 = nao atende nada do prompt; 5 = atende 100% dos requisitos pedidos no nivel.</t>
  </si>
  <si>
    <t xml:space="preserve">Qualidade estatica (warnings)</t>
  </si>
  <si>
    <t xml:space="preserve">Rode um linter (ex: eslint) no codigo gerado e anote o numero de warnings/erros.</t>
  </si>
  <si>
    <t xml:space="preserve">Boas praticas (1-5)</t>
  </si>
  <si>
    <t xml:space="preserve">Avaliacao qualitativa: separacao de responsabilidades, tratamento de erros, nomes claros, comentarios uteis.</t>
  </si>
  <si>
    <t xml:space="preserve">Seguranca (1-5)</t>
  </si>
  <si>
    <t xml:space="preserve">Preencha SO a partir do nivel 4 (autenticacao). Considere: hash de senha, protecao contra SQL injection, validacao de entrada, exposicao de dados sensiveis em respostas de erro.</t>
  </si>
  <si>
    <t xml:space="preserve">Observacoes</t>
  </si>
  <si>
    <t xml:space="preserve">Qualquer coisa notavel: o modelo pulou um requisito, adicionou algo nao pedido, decisao de design questionavel, etc.</t>
  </si>
  <si>
    <t xml:space="preserve">Legenda de cores</t>
  </si>
  <si>
    <t xml:space="preserve">Preencher (amarelo)</t>
  </si>
  <si>
    <t xml:space="preserve">Ja preenchido / calculado (cinza claro)</t>
  </si>
  <si>
    <t xml:space="preserve">Linha de exemplo (verde)</t>
  </si>
  <si>
    <t xml:space="preserve">Preenchido com dados reais (testado)</t>
  </si>
  <si>
    <t xml:space="preserve">Truncado / bloqueado - precisa rerodar ou testar localmente</t>
  </si>
  <si>
    <t xml:space="preserve">Status final: 30/30 combinacoes testadas e preenchidas com dados reais.</t>
  </si>
  <si>
    <t xml:space="preserve">Avaliacao — 30 combinacoes (5 niveis x 3 provedores x 2 tentativas)</t>
  </si>
  <si>
    <t xml:space="preserve">Nivel</t>
  </si>
  <si>
    <t xml:space="preserve">Nome do nivel</t>
  </si>
  <si>
    <t xml:space="preserve">Provedor</t>
  </si>
  <si>
    <t xml:space="preserve">Modelo exato</t>
  </si>
  <si>
    <t xml:space="preserve">Tentativa</t>
  </si>
  <si>
    <t xml:space="preserve">Tamanho (chars)</t>
  </si>
  <si>
    <t xml:space="preserve">Nº correcoes manuais</t>
  </si>
  <si>
    <t xml:space="preserve">Arquivo</t>
  </si>
  <si>
    <t xml:space="preserve">Persistencia simples</t>
  </si>
  <si>
    <t xml:space="preserve">claude</t>
  </si>
  <si>
    <t xml:space="preserve">claude-sonnet-5</t>
  </si>
  <si>
    <t xml:space="preserve">S</t>
  </si>
  <si>
    <t xml:space="preserve">Rodou de primeira (CLI e interativo). Escaping CSV RFC4180 correto; append seguro.</t>
  </si>
  <si>
    <t xml:space="preserve">outputs/nivel-0-persistencia-simples/claude/tentativa-1.md</t>
  </si>
  <si>
    <t xml:space="preserve">Mesma robustez da tentativa 1; pequenas variações de nomenclatura interna.</t>
  </si>
  <si>
    <t xml:space="preserve">outputs/nivel-0-persistencia-simples/claude/tentativa-2.md</t>
  </si>
  <si>
    <t xml:space="preserve">gpt</t>
  </si>
  <si>
    <t xml:space="preserve">gpt-5.6</t>
  </si>
  <si>
    <t xml:space="preserve">Usa fs/promises + readline/promises; detecta arquivo vazio antes de escrever cabecalho.</t>
  </si>
  <si>
    <t xml:space="preserve">outputs/nivel-0-persistencia-simples/gpt/tentativa-1.md</t>
  </si>
  <si>
    <t xml:space="preserve">Mais defensivo: detecta ausencia de TTY (evita travar esperando input) e checa byte final do arquivo.</t>
  </si>
  <si>
    <t xml:space="preserve">outputs/nivel-0-persistencia-simples/gpt/tentativa-2.md</t>
  </si>
  <si>
    <t xml:space="preserve">gemini</t>
  </si>
  <si>
    <t xml:space="preserve">gemini-pro-latest</t>
  </si>
  <si>
    <t xml:space="preserve">So aceita nome via argv, sem fallback interativo (exit(1) se omitido).</t>
  </si>
  <si>
    <t xml:space="preserve">outputs/nivel-0-persistencia-simples/gemini/tentativa-1.md</t>
  </si>
  <si>
    <t xml:space="preserve">IGNORA argv por completo - so funciona em modo interativo. Inconsistente com a propria tentativa 1.</t>
  </si>
  <si>
    <t xml:space="preserve">outputs/nivel-0-persistencia-simples/gemini/tentativa-2.md</t>
  </si>
  <si>
    <t xml:space="preserve">CRUD com persistencia em banco</t>
  </si>
  <si>
    <t xml:space="preserve">RERODADO com harness corrigido - nao truncou mais (end_turn, 7421 tokens). CRUD 100% funcional: add/list/update/remove, duplicidade rejeitada corretamente. Arquitetura em camadas (db/validators/userService/cli).</t>
  </si>
  <si>
    <t xml:space="preserve">outputs/nivel-1-crud-com-persistencia-em-banco/claude/tentativa-1.md</t>
  </si>
  <si>
    <t xml:space="preserve">RERODADO com harness corrigido - nao truncou mais (end_turn, 8660 tokens). CRUD 100% funcional. Bonus: oferece menu interativo alem de argv (unico entre os projetos testados a suportar os dois modos de verdade).</t>
  </si>
  <si>
    <t xml:space="preserve">outputs/nivel-1-crud-com-persistencia-em-banco/claude/tentativa-2.md</t>
  </si>
  <si>
    <t xml:space="preserve">100% de primeira: cadastro, rejeicao de duplicidade com mensagem amigavel, listagem em tabela, atualizacao e remocao - todos testados com sucesso.</t>
  </si>
  <si>
    <t xml:space="preserve">outputs/nivel-1-crud-com-persistencia-em-banco/gpt/tentativa-1.md</t>
  </si>
  <si>
    <t xml:space="preserve">100% de primeira, incluindo duplicidade case-insensitive (JOAO@ vs joao@) via COLLATE NOCASE.</t>
  </si>
  <si>
    <t xml:space="preserve">outputs/nivel-1-crud-com-persistencia-em-banco/gpt/tentativa-2.md</t>
  </si>
  <si>
    <t xml:space="preserve">TESTADO PELO USUARIO na propria maquina (better-sqlite3^9.4.3 nao instala no sandbox de teste, mas instala normalmente localmente apos ajuste de versao para ^12.2.0). Menu interativo completo: cadastro, listagem em tabela, duplicidade de email corretamente rejeitada.</t>
  </si>
  <si>
    <t xml:space="preserve">outputs/nivel-1-crud-com-persistencia-em-banco/gemini/tentativa-1.md</t>
  </si>
  <si>
    <t xml:space="preserve">TESTADO PELO USUARIO na propria maquina (mesma ressalva de instalacao da t1). CLI via argv (add/list), duplicidade de email corretamente rejeitada.</t>
  </si>
  <si>
    <t xml:space="preserve">outputs/nivel-1-crud-com-persistencia-em-banco/gemini/tentativa-2.md</t>
  </si>
  <si>
    <t xml:space="preserve">API REST</t>
  </si>
  <si>
    <t xml:space="preserve">RERODADO com harness corrigido - nao truncou mais (end_turn, 7140 tokens). CRUD 100% funcional: 201/409/200/200/204 corretos. Bonus: entregou paginacao (page/limit) nao pedida no prompt.</t>
  </si>
  <si>
    <t xml:space="preserve">outputs/nivel-2-api-rest/claude/tentativa-1.md</t>
  </si>
  <si>
    <t xml:space="preserve">RERODADO com harness corrigido - nao truncou mais (end_turn, 6011 tokens). CRUD 100% funcional: 201/409/200/200/204 corretos. Estrutura em camadas (routes/repository/validation) mais organizada que a t1.</t>
  </si>
  <si>
    <t xml:space="preserve">outputs/nivel-2-api-rest/claude/tentativa-2.md</t>
  </si>
  <si>
    <t xml:space="preserve">201/409/200 corretos. Bug cosmetico: log de inicio mostra 'localhost:3000' fixo mesmo rodando em outra porta (o bind real respeita PORT).</t>
  </si>
  <si>
    <t xml:space="preserve">outputs/nivel-2-api-rest/gpt/tentativa-1.md</t>
  </si>
  <si>
    <t xml:space="preserve">Implementacao mais rigorosa do grupo: respeita PORT corretamente (inclusive no log), retorna 409 Conflict correto, erros estruturados com status+mensagem, sem framework (http nativo).</t>
  </si>
  <si>
    <t xml:space="preserve">outputs/nivel-2-api-rest/gpt/tentativa-2.md</t>
  </si>
  <si>
    <t xml:space="preserve">POST/GET testados com sucesso. Porta hardcoded em 3000 (ignora env PORT). Retorna 400 (nao 409) para e-mail duplicado.</t>
  </si>
  <si>
    <t xml:space="preserve">outputs/nivel-2-api-rest/gemini/tentativa-1.md</t>
  </si>
  <si>
    <t xml:space="preserve">NAO entregou package.json pronto (so instruiu 'npm init -y &amp;&amp; npm install' manualmente) - falha de completude frente ao prompt. Mesma porta hardcoded e status 400 em duplicidade.</t>
  </si>
  <si>
    <t xml:space="preserve">outputs/nivel-2-api-rest/gemini/tentativa-2.md</t>
  </si>
  <si>
    <t xml:space="preserve">Sistema web full-stack</t>
  </si>
  <si>
    <t xml:space="preserve">CRUD completo funcional (201/409/200/200/204). Adicionou campo 'telefone' (opcional) por conta propria - nivel nao especificava campos, entao foi decisao razoavel documentada. Rota/campos em portugues.</t>
  </si>
  <si>
    <t xml:space="preserve">outputs/nivel-3-sistema-web-full-stack/claude/tentativa-1.md</t>
  </si>
  <si>
    <t xml:space="preserve">CRUD completo funcional (201/409/200/200/204), so name+email (sem telefone). Rota/campos em ingles - mesma inconsistencia de idioma entre tentativas que apareceu nos outros 2 provedores.</t>
  </si>
  <si>
    <t xml:space="preserve">outputs/nivel-3-sistema-web-full-stack/claude/tentativa-2.md</t>
  </si>
  <si>
    <t xml:space="preserve">CRUD completo funcional (201/409/200/200/204). Respeita PORT via env corretamente. Rota em portugues (/api/usuarios), timestamps criadoEm/atualizadoEm.</t>
  </si>
  <si>
    <t xml:space="preserve">outputs/nivel-3-sistema-web-full-stack/gpt/tentativa-1.md</t>
  </si>
  <si>
    <t xml:space="preserve">CRUD completo funcional (201/409/200/200/204), com bonus: endpoint /api/health nao pedido no prompt. Mensagens de erro estruturadas por campo (fields.email). Rota em ingles (/api/users).</t>
  </si>
  <si>
    <t xml:space="preserve">outputs/nivel-3-sistema-web-full-stack/gpt/tentativa-2.md</t>
  </si>
  <si>
    <t xml:space="preserve">CRUD completo funcional (201/400/200/200/200), frontend estatico servido corretamente. Vaza erro bruto do SQLite pro cliente em caso de duplicidade ('SQLITE_CONSTRAINT: UNIQUE...') em vez de mensagem amigavel - detalhe de implementacao exposto.</t>
  </si>
  <si>
    <t xml:space="preserve">outputs/nivel-3-sistema-web-full-stack/gemini/tentativa-1.md</t>
  </si>
  <si>
    <t xml:space="preserve">CRUD completo funcional, identico em estrutura a t1. Diferenca: mensagem de erro amigavel na duplicidade ('Email pode ja existir') em vez de vazar o erro do SQLite - mais cuidadoso que a t1 nesse ponto especifico.</t>
  </si>
  <si>
    <t xml:space="preserve">outputs/nivel-3-sistema-web-full-stack/gemini/tentativa-2.md</t>
  </si>
  <si>
    <t xml:space="preserve">Seguranca (autenticacao e autorizacao)</t>
  </si>
  <si>
    <t xml:space="preserve">SEGURANCA - testado de ponta a ponta. Interpretacao de dados DIFERENTE dos outros dois modelos: separa 'users' (login) de 'records' (o que e de fato cadastrado, com titulo+descricao e dono/owner via JOIN) - leitura valida do prompt, ja que o nivel nao especificava os campos. Hash com scrypt nativo do Node + timingSafeEqual (mesmo nivel do GPT). JWT_SECRET vem de env var com fallback CLARAMENTE rotulado 'dev-secret-nao-use-em-producao' (bem melhor que o secret hardcoded do Gemini, que nao alertava nada). Cookie: httpOnly + sameSite=lax (comentado explicitamente como mitigacao de CSRF) + secure condicional a NODE_ENV=production. Sem admin padrao: usa endpoint publico /register para autocadastro, sem senha fraca pre-definida. NAO tem token CSRF dedicado (diferente do GPT) - depende so do sameSite=lax, que e uma protecao real mas mais fraca que double-submit token.</t>
  </si>
  <si>
    <t xml:space="preserve">outputs/nivel-4-seguranca-autenticacao-e-autorizacao/claude/tentativa-1.md</t>
  </si>
  <si>
    <t xml:space="preserve">SEGURANCA - mesmo padrao de qualidade da t1 (sameSite=lax comentado, secret com fallback rotulado como dev, endpoint /register publico, sem admin padrao fraco). Diferenca: usa bcryptjs (hash $2a$10$..., salgado corretamente) em vez de scrypt nativo - escolha tambem valida, mas sem a mitigacao extra de timing attack via timingSafeEqual que o bcrypt ja resolve internamente por design. Testado ponta a ponta: listagem publica, bloqueio sem sessao (401), registro+login+criacao autenticada funcionando.</t>
  </si>
  <si>
    <t xml:space="preserve">outputs/nivel-4-seguranca-autenticacao-e-autorizacao/claude/tentativa-2.md</t>
  </si>
  <si>
    <t xml:space="preserve">SEGURANCA - a implementacao mais rigorosa dos 3 modelos, testada de ponta a ponta. Hash com scrypt (parametros explicitos N=16384/r=8/p=1) + comparacao em tempo constante (timingSafeEqual) - protege contra timing attack, algo que nem o Gemini fez. Sessao armazenada no servidor (token aleatorio, nao JWT) - revogavel, sem secret no codigo. Cookie com sameSite=lax + secure condicional + httpOnly. CSRF REAL: token dedicado por sessao, exigido via header x-csrf-token, comparado em tempo constante - testei o ataque simulado (cookie presente, sem header) e foi bloqueado (403); fluxo legitimo com token correto funcionou (201). NAO cria admin padrao com senha fraca - exige script separado (create-admin) com senha via variavel de ambiente, evitando expor a senha no historico do shell.</t>
  </si>
  <si>
    <t xml:space="preserve">outputs/nivel-4-seguranca-autenticacao-e-autorizacao/gpt/tentativa-1.md</t>
  </si>
  <si>
    <t xml:space="preserve">SEGURANCA - mesma robustez da t1, com um detalhe a mais: sameSite='strict' (mais restritivo que 'lax' da t1), e executa o scrypt mesmo quando o usuario nao existe no login, de proposito, para que tentativas com usuario invalido e senha errada demorem o mesmo tempo - mitigacao de timing attack no proprio endpoint de login, raro de ver implementado. CSRF testado e confirmado: ataque sem token bloqueado (403), fluxo legitimo passou pelas camadas de auth+CSRF corretamente.</t>
  </si>
  <si>
    <t xml:space="preserve">outputs/nivel-4-seguranca-autenticacao-e-autorizacao/gpt/tentativa-2.md</t>
  </si>
  <si>
    <t xml:space="preserve">SEGURANCA - testado de ponta a ponta: listagem publica (200) e /add e /delete corretamente bloqueados sem sessao (302), liberados com sessao valida. Senha com hash bcrypt real e salgado ($2b$10$..., unico por usuario) - nao ha senha em texto puro no banco. PORTAS: ignora env PORT (hardcoded 3000, mesmo padrao dos outros niveis do Gemini). FALHAS DE SEGURANCA REAIS: (1) JWT_SECRET hardcoded no codigo-fonte; (2) usuario admin padrao com senha fraca 'admin123' criado automaticamente e logado no console; (3) cookie de sessao SEM SameSite nem Secure explicitos - a app comenta que usa POST em vez de GET para 'evitar CSRF simples', o que e um equivoco: POST sozinho nao previne CSRF; sem SameSite explicito a protecao depende so do default do navegador, nao de decisao de design.</t>
  </si>
  <si>
    <t xml:space="preserve">outputs/nivel-4-seguranca-autenticacao-e-autorizacao/gemini/tentativa-1.md</t>
  </si>
  <si>
    <t xml:space="preserve">SEGURANCA - testado de ponta a ponta. Mesmo JWT_SECRET hardcoded da t1 ('super_secret_key_123', literalmente identico - sugere que e um valor 'padrao' do modelo, nao aleatorio) e mesmo admin auto-criado com senha fraca (admin/admin123). DIFERENCA ARQUITETURAL relevante: em vez de cookie httpOnly (usado na t1), esta tentativa guarda o JWT em localStorage no frontend e manda via header 'Authorization: Bearer'. Troca um risco por outro: elimina a exposicao a CSRF que a t1 tinha (Bearer nao e enviado automaticamente cross-site como cookie), mas introduce exposicao a roubo de token via XSS, ja que localStorage e acessivel por qualquer JS da pagina (diferente de cookie httpOnly, que o JS nao consegue ler). Testado: listagem publica (200), criacao sem token bloqueada (401), hash bcrypt salgado confirmado no banco.</t>
  </si>
  <si>
    <t xml:space="preserve">outputs/nivel-4-seguranca-autenticacao-e-autorizacao/gemini/tentativa-2.md</t>
  </si>
  <si>
    <t xml:space="preserve">groq</t>
  </si>
  <si>
    <t xml:space="preserve">openai/gpt-oss-120b</t>
  </si>
  <si>
    <t xml:space="preserve">N/A</t>
  </si>
  <si>
    <t xml:space="preserve">Confirmado em teste local pelo autor (28/08/2026): duas execucoes consecutivas, users.csv com duas linhas, sem sobrescrever a anterior. Nao testavel no sandbox automatizado por exigir terminal real (prompt-sync) - mesma categoria do Gemini nivel 1.</t>
  </si>
  <si>
    <t xml:space="preserve">Via argumento de linha de comando (nao interativo). Testado: duas execucoes, CSV com 2 linhas, sem sobrescrever.</t>
  </si>
  <si>
    <t xml:space="preserve">CRUD completo via commander (add/list/update/delete), com confirmacao y/n na remocao. Testado: cadastro, duplicidade de e-mail rejeitada, atualizacao, remocao - tudo funcional.</t>
  </si>
  <si>
    <t xml:space="preserve">Confirmado em teste local pelo autor (28/08/2026), apos correcao de 2 dependencias (better-sqlite3 e inquirer, ver Seccao metodologica): cadastro, listagem e bloqueio de e-mail duplicado (mensagem amigavel, sem prosseguir) - tudo funcional. Nao testavel no sandbox automatizado por exigir terminal real (inquirer) - mesma categoria do Gemini nivel 1.</t>
  </si>
  <si>
    <t xml:space="preserve">1 correcao manual: package.json continha uma linha de comentario invalida ('// package.json') dentro do JSON, quebrando o parsing - removida. Apos a correcao: CRUD completo via /users, 409 correto para e-mail duplicado.</t>
  </si>
  <si>
    <t xml:space="preserve">1 correcao manual: codigo importava o pacote 'sqlite' (wrapper de promises), mas so 'sqlite3' estava declarado no package.json - adicionado. CRUD funcional, mas retorna 400 (nao 409) para e-mail duplicado - inconsistente com a tentativa 1 do mesmo modelo.</t>
  </si>
  <si>
    <t xml:space="preserve">Rotas em /api/users (nao /users, como a descricao inicial sugeria). Campo 'age' em vez de 'birthdate' - interpretacao valida, pois o nivel nao especifica campos. CRUD completo testado, 409 correto; DELETE retorna 200 em vez de 204 (estilo, nao erro).</t>
  </si>
  <si>
    <t xml:space="preserve">CRUD completo funcional, 409 correto, DELETE 204. Boas praticas com ressalva: um stack trace bruto do SQLite (constraint de e-mail duplicado) e impresso no console do servidor mesmo a API respondendo corretamente ao cliente - vazamento de log, nao de seguranca.</t>
  </si>
  <si>
    <t xml:space="preserve">2 correcoes manuais: dependencia 'dotenv' usada no codigo mas ausente do package.json (adicionada); e o arquivo db/schema.sql nao foi extraido automaticamente (cabecalho com nome de arquivo entre parenteses no meio da frase, fora do padrao de extracao - criado manualmente com o conteudo exato do .md original, e o extrator foi atualizado para esse padrao). Seguranca: bcrypt correto, autenticacao via Bearer token (token nao enviado automaticamente pelo navegador em requisicoes cross-site, logo sem exposicao a CSRF por arquitetura), sem admin padrao (autocadastro publico). Segredo JWT com fallback rotulado (nao hardcoded puro).</t>
  </si>
  <si>
    <t xml:space="preserve">Arquitetura diferente da tentativa 1: usa cookie de sessao em vez de Bearer token. bcrypt correto (confirmado no banco), bloqueio sem token funcional. Porem cookie SEM atributo SameSite (confirmado via header Set-Cookie bruto) - mesma lacuna de CSRF real encontrada no Gemini nivel 4. Segredo JWT hardcoded com fallback ('supersecretkey'). Inconsistencia arquitetural relevante entre as duas tentativas do mesmo modelo neste nivel.</t>
  </si>
  <si>
    <t xml:space="preserve">Interativo (readline) e via argumento; ambos testados com sucesso. CSV com cabecalho, escapamento RFC 4180 completo.</t>
  </si>
  <si>
    <t xml:space="preserve">gemini-3.1-pro-preview</t>
  </si>
  <si>
    <t xml:space="preserve">Via argumento de linha de comando. Testado: duas execucoes, CSV com 2 linhas e cabecalho, sem sobrescrever.</t>
  </si>
  <si>
    <t xml:space="preserve">Interativo e via argumento. Testado: duas execucoes, CSV com cabecalho, sem sobrescrever.</t>
  </si>
  <si>
    <t xml:space="preserve">Interativo e via argumento. Testado: duas execucoes, CSV sem cabecalho mas sem sobrescrever.</t>
  </si>
  <si>
    <t xml:space="preserve">CLI com parsing manual de argumentos (--name/--email/--dob). CRUD completo testado: cadastro, duplicidade de e-mail rejeitada, atualizacao, remocao.</t>
  </si>
  <si>
    <t xml:space="preserve">Menu interativo via readline; testavel neste sandbox apenas com delay artificial entre respostas simuladas (limitacao de teste, nao do codigo). Cadastro e listagem confirmados.</t>
  </si>
  <si>
    <t xml:space="preserve">CLI com aliases em portugues/ingles. CRUD completo testado, incluindo confirmacao de seguranca (--sim) exigida para remocao - boa pratica, nao bug.</t>
  </si>
  <si>
    <t xml:space="preserve">2 correcoes manuais: better-sqlite3^9.4.3 sem binario pre-compilado (subido para ^12.2.0); chalk^5.3.0 e ESM-only, incompativel com require() do codigo (rebaixado para ^4.1.2). Apos corrigir, CRUD completo funcional com duplicidade rejeitada.</t>
  </si>
  <si>
    <t xml:space="preserve">API REST completa testada via HTTP real: criar, listar, 409 em duplicidade.</t>
  </si>
  <si>
    <t xml:space="preserve">API REST completa testada via HTTP real: criar, listar, 409 em duplicidade, prepared statements explicitos documentados no codigo.</t>
  </si>
  <si>
    <t xml:space="preserve">API REST completa testada via HTTP real: criar, listar, 409 em duplicidade, envelope {dados,total} consistente.</t>
  </si>
  <si>
    <t xml:space="preserve">2 correcoes manuais: comentario invalido '// package.json' dentro do proprio JSON (extrator atualizado para remover automaticamente); codigo nao criava o diretorio data/ necessario para o SQLite (SQLITE_CANTOPEN ate criar manualmente). Apos corrigir, CRUD completo funcional.</t>
  </si>
  <si>
    <t xml:space="preserve">Frontend + API REST completos testados via HTTP real: criar, listar, 409 em duplicidade.</t>
  </si>
  <si>
    <t xml:space="preserve">Frontend + API REST funcionais, mas com duas ressalvas de qualidade: porta hardcoded em 3000 (ignora variavel de ambiente PORT) e erro bruto do SQLite (UNIQUE constraint) vazado diretamente na resposta ao cliente em vez de mensagem amigavel (400 em vez de 409).</t>
  </si>
  <si>
    <t xml:space="preserve">Frontend + API REST completos testados via HTTP real: criar, listar, 409 em duplicidade, mensagens em portugues consistentes.</t>
  </si>
  <si>
    <t xml:space="preserve">1 correcao manual: dependencia 'cors' usada no codigo mas ausente do package.json (adicionada). Estrutura frontend/backend separada (nao e defeito, e escolha arquitetural valida). Apos corrigir, CRUD completo via HTTP real funcional.</t>
  </si>
  <si>
    <t xml:space="preserve">Autenticacao Bearer token completa testada: listagem publica, bloqueio sem token (401), registro, login, hash bcrypt confirmado no banco. Segredo JWT com fallback rotulado (nao hardcoded puro). ESLint reportou 12 avisos brutos, mas 11 sao falso-positivo de ambiente (localStorage/funcoes chamadas via onclick em public/app.js, arquivo de navegador lintado com regras de Node.js) - apenas 1 aviso real (variavel 'err' nao utilizada).</t>
  </si>
  <si>
    <t xml:space="preserve">Autenticacao por cookie completa testada: listagem publica, bloqueio sem token (401), login com credencial administrativa padrao fraca (admin/admin123) criada automaticamente e funcional de primeira - terceira ocorrencia identica nas tres tentativas deste nivel. Segredo JWT hardcoded sem fallback via variavel de ambiente. Cookie sem atributo SameSite.</t>
  </si>
  <si>
    <t xml:space="preserve">Autenticacao por sessao (cookie) com formularios server-side testada de ponta a ponta: bloqueio sem login (302 redirect), criacao de admin via script dedicado (sem credencial padrao), login funcional, sessao autenticada confirmada, hash scrypt binario no banco. Token de sessao criptografico (crypto.randomBytes), token CSRF dedicado, cookie SameSite=strict.</t>
  </si>
  <si>
    <t xml:space="preserve">Autenticacao Bearer token completa testada: listagem publica, bloqueio sem token (401), registro publico (sem admin padrao), login retornando JWT valido. Segredo JWT com fallback rotulado.</t>
  </si>
  <si>
    <t xml:space="preserve">Resumo agregado por provedor</t>
  </si>
  <si>
    <t xml:space="preserve">Calculado automaticamente a partir da aba 'Avaliacao' - preencha aquela aba primeiro.</t>
  </si>
  <si>
    <t xml:space="preserve">Taxa de sucesso (%)</t>
  </si>
  <si>
    <t xml:space="preserve">Media correcoes manuais</t>
  </si>
  <si>
    <t xml:space="preserve">Completude media</t>
  </si>
  <si>
    <t xml:space="preserve">Qualidade estatica media (warnings)</t>
  </si>
  <si>
    <t xml:space="preserve">Boas praticas media</t>
  </si>
  <si>
    <t xml:space="preserve">Seguranca media (nivel 4)</t>
  </si>
</sst>
</file>

<file path=xl/styles.xml><?xml version="1.0" encoding="utf-8"?>
<styleSheet xmlns="http://schemas.openxmlformats.org/spreadsheetml/2006/main">
  <numFmts count="3">
    <numFmt numFmtId="164" formatCode="General"/>
    <numFmt numFmtId="165" formatCode="0.0"/>
    <numFmt numFmtId="166"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0"/>
      <color rgb="FFFFFFFF"/>
      <name val="Arial"/>
      <family val="0"/>
      <charset val="1"/>
    </font>
    <font>
      <sz val="10"/>
      <name val="Arial"/>
      <family val="0"/>
      <charset val="1"/>
    </font>
    <font>
      <b val="true"/>
      <sz val="11"/>
      <name val="Arial"/>
      <family val="0"/>
      <charset val="1"/>
    </font>
    <font>
      <b val="true"/>
      <sz val="10"/>
      <color rgb="FFC00000"/>
      <name val="Arial"/>
      <family val="0"/>
      <charset val="1"/>
    </font>
    <font>
      <b val="true"/>
      <sz val="11"/>
      <color rgb="FF1F4E78"/>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F2F2F2"/>
        <bgColor rgb="FFE2EFDA"/>
      </patternFill>
    </fill>
    <fill>
      <patternFill patternType="solid">
        <fgColor rgb="FFE2EFDA"/>
        <bgColor rgb="FFDDEBF7"/>
      </patternFill>
    </fill>
    <fill>
      <patternFill patternType="solid">
        <fgColor rgb="FFDDEBF7"/>
        <bgColor rgb="FFE2EFDA"/>
      </patternFill>
    </fill>
    <fill>
      <patternFill patternType="solid">
        <fgColor rgb="FFFCE4D6"/>
        <bgColor rgb="FFFFF2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center" vertical="center" textRotation="0" wrapText="fals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90"/>
  </cols>
  <sheetData>
    <row r="1" customFormat="false" ht="17.25" hidden="false" customHeight="true" outlineLevel="0" collapsed="false">
      <c r="A1" s="2" t="s">
        <v>0</v>
      </c>
      <c r="B1" s="2"/>
    </row>
    <row r="2" customFormat="false" ht="15" hidden="false" customHeight="true" outlineLevel="0" collapsed="false">
      <c r="A2" s="3" t="s">
        <v>1</v>
      </c>
      <c r="B2" s="3"/>
    </row>
    <row r="4" customFormat="false" ht="15" hidden="false" customHeight="true" outlineLevel="0" collapsed="false">
      <c r="A4" s="4" t="s">
        <v>2</v>
      </c>
      <c r="B4" s="4" t="s">
        <v>3</v>
      </c>
    </row>
    <row r="5" customFormat="false" ht="33.75" hidden="false" customHeight="true" outlineLevel="0" collapsed="false">
      <c r="A5" s="5" t="s">
        <v>4</v>
      </c>
      <c r="B5" s="5" t="s">
        <v>5</v>
      </c>
    </row>
    <row r="6" customFormat="false" ht="33.75" hidden="false" customHeight="true" outlineLevel="0" collapsed="false">
      <c r="A6" s="5" t="s">
        <v>6</v>
      </c>
      <c r="B6" s="5" t="s">
        <v>7</v>
      </c>
    </row>
    <row r="7" customFormat="false" ht="33.75" hidden="false" customHeight="true" outlineLevel="0" collapsed="false">
      <c r="A7" s="5" t="s">
        <v>8</v>
      </c>
      <c r="B7" s="5" t="s">
        <v>9</v>
      </c>
    </row>
    <row r="8" customFormat="false" ht="33.75" hidden="false" customHeight="true" outlineLevel="0" collapsed="false">
      <c r="A8" s="5" t="s">
        <v>10</v>
      </c>
      <c r="B8" s="5" t="s">
        <v>11</v>
      </c>
    </row>
    <row r="9" customFormat="false" ht="33.75" hidden="false" customHeight="true" outlineLevel="0" collapsed="false">
      <c r="A9" s="5" t="s">
        <v>12</v>
      </c>
      <c r="B9" s="5" t="s">
        <v>13</v>
      </c>
    </row>
    <row r="10" customFormat="false" ht="33.75" hidden="false" customHeight="true" outlineLevel="0" collapsed="false">
      <c r="A10" s="5" t="s">
        <v>14</v>
      </c>
      <c r="B10" s="5" t="s">
        <v>15</v>
      </c>
    </row>
    <row r="11" customFormat="false" ht="33.75" hidden="false" customHeight="true" outlineLevel="0" collapsed="false">
      <c r="A11" s="5" t="s">
        <v>16</v>
      </c>
      <c r="B11" s="5" t="s">
        <v>17</v>
      </c>
    </row>
    <row r="13" customFormat="false" ht="15" hidden="false" customHeight="true" outlineLevel="0" collapsed="false">
      <c r="A13" s="6" t="s">
        <v>18</v>
      </c>
    </row>
    <row r="14" customFormat="false" ht="15" hidden="false" customHeight="true" outlineLevel="0" collapsed="false">
      <c r="A14" s="7" t="s">
        <v>19</v>
      </c>
    </row>
    <row r="15" customFormat="false" ht="15" hidden="false" customHeight="true" outlineLevel="0" collapsed="false">
      <c r="A15" s="8" t="s">
        <v>20</v>
      </c>
    </row>
    <row r="16" customFormat="false" ht="15" hidden="false" customHeight="true" outlineLevel="0" collapsed="false">
      <c r="A16" s="9" t="s">
        <v>21</v>
      </c>
    </row>
    <row r="18" customFormat="false" ht="15" hidden="false" customHeight="true" outlineLevel="0" collapsed="false">
      <c r="A18" s="10" t="s">
        <v>22</v>
      </c>
    </row>
    <row r="19" customFormat="false" ht="15" hidden="false" customHeight="true" outlineLevel="0" collapsed="false">
      <c r="A19" s="11" t="s">
        <v>23</v>
      </c>
    </row>
    <row r="21" customFormat="false" ht="15" hidden="false" customHeight="true" outlineLevel="0" collapsed="false">
      <c r="A21" s="12"/>
    </row>
    <row r="22" customFormat="false" ht="15" hidden="false" customHeight="true" outlineLevel="0" collapsed="false">
      <c r="A22" s="13" t="s">
        <v>24</v>
      </c>
    </row>
    <row r="23" customFormat="false" ht="15" hidden="false" customHeight="true" outlineLevel="0" collapsed="false"/>
    <row r="24" customFormat="false" ht="15" hidden="false" customHeight="true" outlineLevel="0" collapsed="false"/>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6"/>
    <col collapsed="false" customWidth="true" hidden="false" outlineLevel="0" max="3" min="3" style="1" width="10"/>
    <col collapsed="false" customWidth="true" hidden="false" outlineLevel="0" max="4" min="4" style="1" width="16"/>
    <col collapsed="false" customWidth="true" hidden="false" outlineLevel="0" max="5" min="5" style="1" width="9"/>
    <col collapsed="false" customWidth="true" hidden="false" outlineLevel="0" max="6" min="6" style="1" width="13"/>
    <col collapsed="false" customWidth="true" hidden="false" outlineLevel="0" max="8" min="7" style="1" width="15"/>
    <col collapsed="false" customWidth="true" hidden="false" outlineLevel="0" max="9" min="9" style="1" width="13"/>
    <col collapsed="false" customWidth="true" hidden="false" outlineLevel="0" max="10" min="10" style="1" width="18"/>
    <col collapsed="false" customWidth="true" hidden="false" outlineLevel="0" max="11" min="11" style="1" width="14"/>
    <col collapsed="false" customWidth="true" hidden="false" outlineLevel="0" max="12" min="12" style="1" width="12"/>
    <col collapsed="false" customWidth="true" hidden="false" outlineLevel="0" max="13" min="13" style="1" width="34"/>
    <col collapsed="false" customWidth="true" hidden="false" outlineLevel="0" max="14" min="14" style="1" width="46"/>
  </cols>
  <sheetData>
    <row r="1" customFormat="false" ht="17.25" hidden="false" customHeight="true" outlineLevel="0" collapsed="false">
      <c r="A1" s="2" t="s">
        <v>25</v>
      </c>
      <c r="B1" s="2"/>
      <c r="C1" s="2"/>
      <c r="D1" s="2"/>
      <c r="E1" s="2"/>
      <c r="F1" s="2"/>
      <c r="G1" s="2"/>
      <c r="H1" s="2"/>
      <c r="I1" s="2"/>
      <c r="J1" s="2"/>
      <c r="K1" s="2"/>
      <c r="L1" s="2"/>
      <c r="M1" s="2"/>
      <c r="N1" s="2"/>
    </row>
    <row r="2" customFormat="false" ht="23.25" hidden="false" customHeight="true" outlineLevel="0" collapsed="false">
      <c r="A2" s="14" t="s">
        <v>26</v>
      </c>
      <c r="B2" s="14" t="s">
        <v>27</v>
      </c>
      <c r="C2" s="14" t="s">
        <v>28</v>
      </c>
      <c r="D2" s="14" t="s">
        <v>29</v>
      </c>
      <c r="E2" s="14" t="s">
        <v>30</v>
      </c>
      <c r="F2" s="14" t="s">
        <v>31</v>
      </c>
      <c r="G2" s="14" t="s">
        <v>4</v>
      </c>
      <c r="H2" s="14" t="s">
        <v>32</v>
      </c>
      <c r="I2" s="14" t="s">
        <v>8</v>
      </c>
      <c r="J2" s="14" t="s">
        <v>10</v>
      </c>
      <c r="K2" s="14" t="s">
        <v>12</v>
      </c>
      <c r="L2" s="14" t="s">
        <v>14</v>
      </c>
      <c r="M2" s="14" t="s">
        <v>16</v>
      </c>
      <c r="N2" s="14" t="s">
        <v>33</v>
      </c>
    </row>
    <row r="3" customFormat="false" ht="15" hidden="false" customHeight="true" outlineLevel="0" collapsed="false">
      <c r="A3" s="15" t="n">
        <v>0</v>
      </c>
      <c r="B3" s="16" t="s">
        <v>34</v>
      </c>
      <c r="C3" s="16" t="s">
        <v>35</v>
      </c>
      <c r="D3" s="16" t="s">
        <v>36</v>
      </c>
      <c r="E3" s="15" t="n">
        <v>1</v>
      </c>
      <c r="F3" s="17" t="n">
        <v>6949</v>
      </c>
      <c r="G3" s="18" t="s">
        <v>37</v>
      </c>
      <c r="H3" s="18" t="n">
        <v>0</v>
      </c>
      <c r="I3" s="18" t="n">
        <v>5</v>
      </c>
      <c r="J3" s="18" t="n">
        <v>0</v>
      </c>
      <c r="K3" s="18" t="n">
        <v>5</v>
      </c>
      <c r="L3" s="19"/>
      <c r="M3" s="20" t="s">
        <v>38</v>
      </c>
      <c r="N3" s="16" t="s">
        <v>39</v>
      </c>
    </row>
    <row r="4" customFormat="false" ht="15" hidden="false" customHeight="true" outlineLevel="0" collapsed="false">
      <c r="A4" s="15" t="n">
        <v>0</v>
      </c>
      <c r="B4" s="16" t="s">
        <v>34</v>
      </c>
      <c r="C4" s="16" t="s">
        <v>35</v>
      </c>
      <c r="D4" s="16" t="s">
        <v>36</v>
      </c>
      <c r="E4" s="15" t="n">
        <v>2</v>
      </c>
      <c r="F4" s="17" t="n">
        <v>7308</v>
      </c>
      <c r="G4" s="18" t="s">
        <v>37</v>
      </c>
      <c r="H4" s="18" t="n">
        <v>0</v>
      </c>
      <c r="I4" s="18" t="n">
        <v>5</v>
      </c>
      <c r="J4" s="18" t="n">
        <v>0</v>
      </c>
      <c r="K4" s="18" t="n">
        <v>5</v>
      </c>
      <c r="L4" s="19"/>
      <c r="M4" s="20" t="s">
        <v>40</v>
      </c>
      <c r="N4" s="16" t="s">
        <v>41</v>
      </c>
    </row>
    <row r="5" customFormat="false" ht="15" hidden="false" customHeight="true" outlineLevel="0" collapsed="false">
      <c r="A5" s="15" t="n">
        <v>0</v>
      </c>
      <c r="B5" s="16" t="s">
        <v>34</v>
      </c>
      <c r="C5" s="16" t="s">
        <v>42</v>
      </c>
      <c r="D5" s="16" t="s">
        <v>43</v>
      </c>
      <c r="E5" s="15" t="n">
        <v>1</v>
      </c>
      <c r="F5" s="17" t="n">
        <v>3794</v>
      </c>
      <c r="G5" s="18" t="s">
        <v>37</v>
      </c>
      <c r="H5" s="18" t="n">
        <v>0</v>
      </c>
      <c r="I5" s="18" t="n">
        <v>5</v>
      </c>
      <c r="J5" s="18" t="n">
        <v>0</v>
      </c>
      <c r="K5" s="18" t="n">
        <v>5</v>
      </c>
      <c r="L5" s="19"/>
      <c r="M5" s="20" t="s">
        <v>44</v>
      </c>
      <c r="N5" s="16" t="s">
        <v>45</v>
      </c>
    </row>
    <row r="6" customFormat="false" ht="15" hidden="false" customHeight="true" outlineLevel="0" collapsed="false">
      <c r="A6" s="15" t="n">
        <v>0</v>
      </c>
      <c r="B6" s="16" t="s">
        <v>34</v>
      </c>
      <c r="C6" s="16" t="s">
        <v>42</v>
      </c>
      <c r="D6" s="16" t="s">
        <v>43</v>
      </c>
      <c r="E6" s="15" t="n">
        <v>2</v>
      </c>
      <c r="F6" s="17" t="n">
        <v>5011</v>
      </c>
      <c r="G6" s="18" t="s">
        <v>37</v>
      </c>
      <c r="H6" s="18" t="n">
        <v>0</v>
      </c>
      <c r="I6" s="18" t="n">
        <v>5</v>
      </c>
      <c r="J6" s="18" t="n">
        <v>0</v>
      </c>
      <c r="K6" s="18" t="n">
        <v>5</v>
      </c>
      <c r="L6" s="19"/>
      <c r="M6" s="20" t="s">
        <v>46</v>
      </c>
      <c r="N6" s="16" t="s">
        <v>47</v>
      </c>
    </row>
    <row r="7" customFormat="false" ht="15" hidden="false" customHeight="true" outlineLevel="0" collapsed="false">
      <c r="A7" s="15" t="n">
        <v>0</v>
      </c>
      <c r="B7" s="16" t="s">
        <v>34</v>
      </c>
      <c r="C7" s="16" t="s">
        <v>48</v>
      </c>
      <c r="D7" s="16" t="s">
        <v>49</v>
      </c>
      <c r="E7" s="15" t="n">
        <v>1</v>
      </c>
      <c r="F7" s="17" t="n">
        <v>3887</v>
      </c>
      <c r="G7" s="18" t="s">
        <v>37</v>
      </c>
      <c r="H7" s="18" t="n">
        <v>0</v>
      </c>
      <c r="I7" s="18" t="n">
        <v>4</v>
      </c>
      <c r="J7" s="18" t="n">
        <v>0</v>
      </c>
      <c r="K7" s="18" t="n">
        <v>4</v>
      </c>
      <c r="L7" s="19"/>
      <c r="M7" s="20" t="s">
        <v>50</v>
      </c>
      <c r="N7" s="16" t="s">
        <v>51</v>
      </c>
    </row>
    <row r="8" customFormat="false" ht="15" hidden="false" customHeight="true" outlineLevel="0" collapsed="false">
      <c r="A8" s="15" t="n">
        <v>0</v>
      </c>
      <c r="B8" s="16" t="s">
        <v>34</v>
      </c>
      <c r="C8" s="16" t="s">
        <v>48</v>
      </c>
      <c r="D8" s="16" t="s">
        <v>49</v>
      </c>
      <c r="E8" s="15" t="n">
        <v>2</v>
      </c>
      <c r="F8" s="17" t="n">
        <v>4038</v>
      </c>
      <c r="G8" s="18" t="s">
        <v>37</v>
      </c>
      <c r="H8" s="18" t="n">
        <v>0</v>
      </c>
      <c r="I8" s="18" t="n">
        <v>3</v>
      </c>
      <c r="J8" s="18" t="n">
        <v>0</v>
      </c>
      <c r="K8" s="18" t="n">
        <v>3</v>
      </c>
      <c r="L8" s="19"/>
      <c r="M8" s="20" t="s">
        <v>52</v>
      </c>
      <c r="N8" s="16" t="s">
        <v>53</v>
      </c>
    </row>
    <row r="9" customFormat="false" ht="15" hidden="false" customHeight="true" outlineLevel="0" collapsed="false">
      <c r="A9" s="15" t="n">
        <v>1</v>
      </c>
      <c r="B9" s="16" t="s">
        <v>54</v>
      </c>
      <c r="C9" s="16" t="s">
        <v>35</v>
      </c>
      <c r="D9" s="16" t="s">
        <v>36</v>
      </c>
      <c r="E9" s="15" t="n">
        <v>1</v>
      </c>
      <c r="F9" s="17" t="n">
        <v>2976</v>
      </c>
      <c r="G9" s="18" t="s">
        <v>37</v>
      </c>
      <c r="H9" s="18" t="n">
        <v>0</v>
      </c>
      <c r="I9" s="18" t="n">
        <v>5</v>
      </c>
      <c r="J9" s="18" t="n">
        <v>0</v>
      </c>
      <c r="K9" s="18" t="n">
        <v>5</v>
      </c>
      <c r="L9" s="19"/>
      <c r="M9" s="20" t="s">
        <v>55</v>
      </c>
      <c r="N9" s="16" t="s">
        <v>56</v>
      </c>
    </row>
    <row r="10" customFormat="false" ht="15" hidden="false" customHeight="true" outlineLevel="0" collapsed="false">
      <c r="A10" s="15" t="n">
        <v>1</v>
      </c>
      <c r="B10" s="16" t="s">
        <v>54</v>
      </c>
      <c r="C10" s="16" t="s">
        <v>35</v>
      </c>
      <c r="D10" s="16" t="s">
        <v>36</v>
      </c>
      <c r="E10" s="15" t="n">
        <v>2</v>
      </c>
      <c r="F10" s="17" t="n">
        <v>2298</v>
      </c>
      <c r="G10" s="18" t="s">
        <v>37</v>
      </c>
      <c r="H10" s="18" t="n">
        <v>0</v>
      </c>
      <c r="I10" s="18" t="n">
        <v>5</v>
      </c>
      <c r="J10" s="18" t="n">
        <v>0</v>
      </c>
      <c r="K10" s="18" t="n">
        <v>5</v>
      </c>
      <c r="L10" s="19"/>
      <c r="M10" s="20" t="s">
        <v>57</v>
      </c>
      <c r="N10" s="16" t="s">
        <v>58</v>
      </c>
    </row>
    <row r="11" customFormat="false" ht="15" hidden="false" customHeight="true" outlineLevel="0" collapsed="false">
      <c r="A11" s="15" t="n">
        <v>1</v>
      </c>
      <c r="B11" s="16" t="s">
        <v>54</v>
      </c>
      <c r="C11" s="16" t="s">
        <v>42</v>
      </c>
      <c r="D11" s="16" t="s">
        <v>43</v>
      </c>
      <c r="E11" s="15" t="n">
        <v>1</v>
      </c>
      <c r="F11" s="17" t="n">
        <v>20478</v>
      </c>
      <c r="G11" s="18" t="s">
        <v>37</v>
      </c>
      <c r="H11" s="18" t="n">
        <v>0</v>
      </c>
      <c r="I11" s="18" t="n">
        <v>5</v>
      </c>
      <c r="J11" s="18" t="n">
        <v>0</v>
      </c>
      <c r="K11" s="18" t="n">
        <v>5</v>
      </c>
      <c r="L11" s="19"/>
      <c r="M11" s="20" t="s">
        <v>59</v>
      </c>
      <c r="N11" s="16" t="s">
        <v>60</v>
      </c>
    </row>
    <row r="12" customFormat="false" ht="15" hidden="false" customHeight="true" outlineLevel="0" collapsed="false">
      <c r="A12" s="15" t="n">
        <v>1</v>
      </c>
      <c r="B12" s="16" t="s">
        <v>54</v>
      </c>
      <c r="C12" s="16" t="s">
        <v>42</v>
      </c>
      <c r="D12" s="16" t="s">
        <v>43</v>
      </c>
      <c r="E12" s="15" t="n">
        <v>2</v>
      </c>
      <c r="F12" s="17" t="n">
        <v>19878</v>
      </c>
      <c r="G12" s="18" t="s">
        <v>37</v>
      </c>
      <c r="H12" s="18" t="n">
        <v>0</v>
      </c>
      <c r="I12" s="18" t="n">
        <v>5</v>
      </c>
      <c r="J12" s="18" t="n">
        <v>0</v>
      </c>
      <c r="K12" s="18" t="n">
        <v>5</v>
      </c>
      <c r="L12" s="19"/>
      <c r="M12" s="20" t="s">
        <v>61</v>
      </c>
      <c r="N12" s="16" t="s">
        <v>62</v>
      </c>
    </row>
    <row r="13" customFormat="false" ht="15" hidden="false" customHeight="true" outlineLevel="0" collapsed="false">
      <c r="A13" s="15" t="n">
        <v>1</v>
      </c>
      <c r="B13" s="16" t="s">
        <v>54</v>
      </c>
      <c r="C13" s="16" t="s">
        <v>48</v>
      </c>
      <c r="D13" s="16" t="s">
        <v>49</v>
      </c>
      <c r="E13" s="15" t="n">
        <v>1</v>
      </c>
      <c r="F13" s="17" t="n">
        <v>7882</v>
      </c>
      <c r="G13" s="18" t="s">
        <v>37</v>
      </c>
      <c r="H13" s="18" t="n">
        <v>0</v>
      </c>
      <c r="I13" s="18" t="n">
        <v>5</v>
      </c>
      <c r="J13" s="18" t="n">
        <v>0</v>
      </c>
      <c r="K13" s="18" t="n">
        <v>4</v>
      </c>
      <c r="L13" s="19"/>
      <c r="M13" s="20" t="s">
        <v>63</v>
      </c>
      <c r="N13" s="16" t="s">
        <v>64</v>
      </c>
    </row>
    <row r="14" customFormat="false" ht="15" hidden="false" customHeight="true" outlineLevel="0" collapsed="false">
      <c r="A14" s="15" t="n">
        <v>1</v>
      </c>
      <c r="B14" s="16" t="s">
        <v>54</v>
      </c>
      <c r="C14" s="16" t="s">
        <v>48</v>
      </c>
      <c r="D14" s="16" t="s">
        <v>49</v>
      </c>
      <c r="E14" s="15" t="n">
        <v>2</v>
      </c>
      <c r="F14" s="17" t="n">
        <v>6325</v>
      </c>
      <c r="G14" s="18" t="s">
        <v>37</v>
      </c>
      <c r="H14" s="18" t="n">
        <v>0</v>
      </c>
      <c r="I14" s="18" t="n">
        <v>5</v>
      </c>
      <c r="J14" s="18" t="n">
        <v>0</v>
      </c>
      <c r="K14" s="18" t="n">
        <v>4</v>
      </c>
      <c r="L14" s="19"/>
      <c r="M14" s="20" t="s">
        <v>65</v>
      </c>
      <c r="N14" s="16" t="s">
        <v>66</v>
      </c>
    </row>
    <row r="15" customFormat="false" ht="15" hidden="false" customHeight="true" outlineLevel="0" collapsed="false">
      <c r="A15" s="15" t="n">
        <v>2</v>
      </c>
      <c r="B15" s="16" t="s">
        <v>67</v>
      </c>
      <c r="C15" s="16" t="s">
        <v>35</v>
      </c>
      <c r="D15" s="16" t="s">
        <v>36</v>
      </c>
      <c r="E15" s="15" t="n">
        <v>1</v>
      </c>
      <c r="F15" s="17" t="n">
        <v>3560</v>
      </c>
      <c r="G15" s="18" t="s">
        <v>37</v>
      </c>
      <c r="H15" s="18" t="n">
        <v>0</v>
      </c>
      <c r="I15" s="18" t="n">
        <v>5</v>
      </c>
      <c r="J15" s="18" t="n">
        <v>1</v>
      </c>
      <c r="K15" s="18" t="n">
        <v>5</v>
      </c>
      <c r="L15" s="19"/>
      <c r="M15" s="20" t="s">
        <v>68</v>
      </c>
      <c r="N15" s="16" t="s">
        <v>69</v>
      </c>
    </row>
    <row r="16" customFormat="false" ht="15" hidden="false" customHeight="true" outlineLevel="0" collapsed="false">
      <c r="A16" s="15" t="n">
        <v>2</v>
      </c>
      <c r="B16" s="16" t="s">
        <v>67</v>
      </c>
      <c r="C16" s="16" t="s">
        <v>35</v>
      </c>
      <c r="D16" s="16" t="s">
        <v>36</v>
      </c>
      <c r="E16" s="15" t="n">
        <v>2</v>
      </c>
      <c r="F16" s="17" t="n">
        <v>7792</v>
      </c>
      <c r="G16" s="18" t="s">
        <v>37</v>
      </c>
      <c r="H16" s="18" t="n">
        <v>0</v>
      </c>
      <c r="I16" s="18" t="n">
        <v>5</v>
      </c>
      <c r="J16" s="18" t="n">
        <v>1</v>
      </c>
      <c r="K16" s="18" t="n">
        <v>5</v>
      </c>
      <c r="L16" s="19"/>
      <c r="M16" s="20" t="s">
        <v>70</v>
      </c>
      <c r="N16" s="16" t="s">
        <v>71</v>
      </c>
    </row>
    <row r="17" customFormat="false" ht="15" hidden="false" customHeight="true" outlineLevel="0" collapsed="false">
      <c r="A17" s="15" t="n">
        <v>2</v>
      </c>
      <c r="B17" s="16" t="s">
        <v>67</v>
      </c>
      <c r="C17" s="16" t="s">
        <v>42</v>
      </c>
      <c r="D17" s="16" t="s">
        <v>43</v>
      </c>
      <c r="E17" s="15" t="n">
        <v>1</v>
      </c>
      <c r="F17" s="17" t="n">
        <v>14985</v>
      </c>
      <c r="G17" s="18" t="s">
        <v>37</v>
      </c>
      <c r="H17" s="18" t="n">
        <v>0</v>
      </c>
      <c r="I17" s="18" t="n">
        <v>5</v>
      </c>
      <c r="J17" s="18" t="n">
        <v>0</v>
      </c>
      <c r="K17" s="18" t="n">
        <v>4</v>
      </c>
      <c r="L17" s="19"/>
      <c r="M17" s="20" t="s">
        <v>72</v>
      </c>
      <c r="N17" s="16" t="s">
        <v>73</v>
      </c>
    </row>
    <row r="18" customFormat="false" ht="15" hidden="false" customHeight="true" outlineLevel="0" collapsed="false">
      <c r="A18" s="15" t="n">
        <v>2</v>
      </c>
      <c r="B18" s="16" t="s">
        <v>67</v>
      </c>
      <c r="C18" s="16" t="s">
        <v>42</v>
      </c>
      <c r="D18" s="16" t="s">
        <v>43</v>
      </c>
      <c r="E18" s="15" t="n">
        <v>2</v>
      </c>
      <c r="F18" s="17" t="n">
        <v>17522</v>
      </c>
      <c r="G18" s="18" t="s">
        <v>37</v>
      </c>
      <c r="H18" s="18" t="n">
        <v>0</v>
      </c>
      <c r="I18" s="18" t="n">
        <v>5</v>
      </c>
      <c r="J18" s="18" t="n">
        <v>1</v>
      </c>
      <c r="K18" s="18" t="n">
        <v>5</v>
      </c>
      <c r="L18" s="19"/>
      <c r="M18" s="20" t="s">
        <v>74</v>
      </c>
      <c r="N18" s="16" t="s">
        <v>75</v>
      </c>
    </row>
    <row r="19" customFormat="false" ht="15" hidden="false" customHeight="true" outlineLevel="0" collapsed="false">
      <c r="A19" s="15" t="n">
        <v>2</v>
      </c>
      <c r="B19" s="16" t="s">
        <v>67</v>
      </c>
      <c r="C19" s="16" t="s">
        <v>48</v>
      </c>
      <c r="D19" s="16" t="s">
        <v>49</v>
      </c>
      <c r="E19" s="15" t="n">
        <v>1</v>
      </c>
      <c r="F19" s="17" t="n">
        <v>6098</v>
      </c>
      <c r="G19" s="18" t="s">
        <v>37</v>
      </c>
      <c r="H19" s="18" t="n">
        <v>0</v>
      </c>
      <c r="I19" s="18" t="n">
        <v>4</v>
      </c>
      <c r="J19" s="18" t="n">
        <v>0</v>
      </c>
      <c r="K19" s="18" t="n">
        <v>3</v>
      </c>
      <c r="L19" s="19"/>
      <c r="M19" s="20" t="s">
        <v>76</v>
      </c>
      <c r="N19" s="16" t="s">
        <v>77</v>
      </c>
    </row>
    <row r="20" customFormat="false" ht="15" hidden="false" customHeight="true" outlineLevel="0" collapsed="false">
      <c r="A20" s="15" t="n">
        <v>2</v>
      </c>
      <c r="B20" s="16" t="s">
        <v>67</v>
      </c>
      <c r="C20" s="16" t="s">
        <v>48</v>
      </c>
      <c r="D20" s="16" t="s">
        <v>49</v>
      </c>
      <c r="E20" s="15" t="n">
        <v>2</v>
      </c>
      <c r="F20" s="17" t="n">
        <v>7493</v>
      </c>
      <c r="G20" s="18" t="s">
        <v>37</v>
      </c>
      <c r="H20" s="18" t="n">
        <v>0</v>
      </c>
      <c r="I20" s="18" t="n">
        <v>3</v>
      </c>
      <c r="J20" s="18" t="n">
        <v>0</v>
      </c>
      <c r="K20" s="18" t="n">
        <v>3</v>
      </c>
      <c r="L20" s="19"/>
      <c r="M20" s="20" t="s">
        <v>78</v>
      </c>
      <c r="N20" s="16" t="s">
        <v>79</v>
      </c>
    </row>
    <row r="21" customFormat="false" ht="15" hidden="false" customHeight="true" outlineLevel="0" collapsed="false">
      <c r="A21" s="15" t="n">
        <v>3</v>
      </c>
      <c r="B21" s="16" t="s">
        <v>80</v>
      </c>
      <c r="C21" s="16" t="s">
        <v>35</v>
      </c>
      <c r="D21" s="16" t="s">
        <v>36</v>
      </c>
      <c r="E21" s="15" t="n">
        <v>1</v>
      </c>
      <c r="F21" s="17" t="n">
        <v>17526</v>
      </c>
      <c r="G21" s="18" t="s">
        <v>37</v>
      </c>
      <c r="H21" s="18" t="n">
        <v>0</v>
      </c>
      <c r="I21" s="18" t="n">
        <v>5</v>
      </c>
      <c r="J21" s="18" t="n">
        <v>0</v>
      </c>
      <c r="K21" s="18" t="n">
        <v>5</v>
      </c>
      <c r="L21" s="19"/>
      <c r="M21" s="20" t="s">
        <v>81</v>
      </c>
      <c r="N21" s="16" t="s">
        <v>82</v>
      </c>
    </row>
    <row r="22" customFormat="false" ht="15" hidden="false" customHeight="true" outlineLevel="0" collapsed="false">
      <c r="A22" s="15" t="n">
        <v>3</v>
      </c>
      <c r="B22" s="16" t="s">
        <v>80</v>
      </c>
      <c r="C22" s="16" t="s">
        <v>35</v>
      </c>
      <c r="D22" s="16" t="s">
        <v>36</v>
      </c>
      <c r="E22" s="15" t="n">
        <v>2</v>
      </c>
      <c r="F22" s="17" t="n">
        <v>17015</v>
      </c>
      <c r="G22" s="18" t="s">
        <v>37</v>
      </c>
      <c r="H22" s="18" t="n">
        <v>0</v>
      </c>
      <c r="I22" s="18" t="n">
        <v>5</v>
      </c>
      <c r="J22" s="18" t="n">
        <v>0</v>
      </c>
      <c r="K22" s="18" t="n">
        <v>5</v>
      </c>
      <c r="L22" s="19"/>
      <c r="M22" s="20" t="s">
        <v>83</v>
      </c>
      <c r="N22" s="16" t="s">
        <v>84</v>
      </c>
    </row>
    <row r="23" customFormat="false" ht="15" hidden="false" customHeight="true" outlineLevel="0" collapsed="false">
      <c r="A23" s="15" t="n">
        <v>3</v>
      </c>
      <c r="B23" s="16" t="s">
        <v>80</v>
      </c>
      <c r="C23" s="16" t="s">
        <v>42</v>
      </c>
      <c r="D23" s="16" t="s">
        <v>43</v>
      </c>
      <c r="E23" s="15" t="n">
        <v>1</v>
      </c>
      <c r="F23" s="17" t="n">
        <v>30422</v>
      </c>
      <c r="G23" s="18" t="s">
        <v>37</v>
      </c>
      <c r="H23" s="18" t="n">
        <v>0</v>
      </c>
      <c r="I23" s="18" t="n">
        <v>5</v>
      </c>
      <c r="J23" s="18" t="n">
        <v>0</v>
      </c>
      <c r="K23" s="18" t="n">
        <v>5</v>
      </c>
      <c r="L23" s="19"/>
      <c r="M23" s="20" t="s">
        <v>85</v>
      </c>
      <c r="N23" s="16" t="s">
        <v>86</v>
      </c>
    </row>
    <row r="24" customFormat="false" ht="15" hidden="false" customHeight="true" outlineLevel="0" collapsed="false">
      <c r="A24" s="15" t="n">
        <v>3</v>
      </c>
      <c r="B24" s="16" t="s">
        <v>80</v>
      </c>
      <c r="C24" s="16" t="s">
        <v>42</v>
      </c>
      <c r="D24" s="16" t="s">
        <v>43</v>
      </c>
      <c r="E24" s="15" t="n">
        <v>2</v>
      </c>
      <c r="F24" s="17" t="n">
        <v>30365</v>
      </c>
      <c r="G24" s="18" t="s">
        <v>37</v>
      </c>
      <c r="H24" s="18" t="n">
        <v>0</v>
      </c>
      <c r="I24" s="18" t="n">
        <v>5</v>
      </c>
      <c r="J24" s="18" t="n">
        <v>1</v>
      </c>
      <c r="K24" s="18" t="n">
        <v>5</v>
      </c>
      <c r="L24" s="19"/>
      <c r="M24" s="20" t="s">
        <v>87</v>
      </c>
      <c r="N24" s="16" t="s">
        <v>88</v>
      </c>
    </row>
    <row r="25" customFormat="false" ht="15" hidden="false" customHeight="true" outlineLevel="0" collapsed="false">
      <c r="A25" s="15" t="n">
        <v>3</v>
      </c>
      <c r="B25" s="16" t="s">
        <v>80</v>
      </c>
      <c r="C25" s="16" t="s">
        <v>48</v>
      </c>
      <c r="D25" s="16" t="s">
        <v>49</v>
      </c>
      <c r="E25" s="15" t="n">
        <v>1</v>
      </c>
      <c r="F25" s="17" t="n">
        <v>11271</v>
      </c>
      <c r="G25" s="18" t="s">
        <v>37</v>
      </c>
      <c r="H25" s="18" t="n">
        <v>0</v>
      </c>
      <c r="I25" s="18" t="n">
        <v>5</v>
      </c>
      <c r="J25" s="18" t="n">
        <v>0</v>
      </c>
      <c r="K25" s="18" t="n">
        <v>3</v>
      </c>
      <c r="L25" s="19"/>
      <c r="M25" s="20" t="s">
        <v>89</v>
      </c>
      <c r="N25" s="16" t="s">
        <v>90</v>
      </c>
    </row>
    <row r="26" customFormat="false" ht="15" hidden="false" customHeight="true" outlineLevel="0" collapsed="false">
      <c r="A26" s="15" t="n">
        <v>3</v>
      </c>
      <c r="B26" s="16" t="s">
        <v>80</v>
      </c>
      <c r="C26" s="16" t="s">
        <v>48</v>
      </c>
      <c r="D26" s="16" t="s">
        <v>49</v>
      </c>
      <c r="E26" s="15" t="n">
        <v>2</v>
      </c>
      <c r="F26" s="17" t="n">
        <v>11072</v>
      </c>
      <c r="G26" s="18" t="s">
        <v>37</v>
      </c>
      <c r="H26" s="18" t="n">
        <v>0</v>
      </c>
      <c r="I26" s="18" t="n">
        <v>5</v>
      </c>
      <c r="J26" s="18" t="n">
        <v>0</v>
      </c>
      <c r="K26" s="18" t="n">
        <v>4</v>
      </c>
      <c r="L26" s="19"/>
      <c r="M26" s="20" t="s">
        <v>91</v>
      </c>
      <c r="N26" s="16" t="s">
        <v>92</v>
      </c>
    </row>
    <row r="27" customFormat="false" ht="15" hidden="false" customHeight="true" outlineLevel="0" collapsed="false">
      <c r="A27" s="15" t="n">
        <v>4</v>
      </c>
      <c r="B27" s="16" t="s">
        <v>93</v>
      </c>
      <c r="C27" s="16" t="s">
        <v>35</v>
      </c>
      <c r="D27" s="16" t="s">
        <v>36</v>
      </c>
      <c r="E27" s="15" t="n">
        <v>1</v>
      </c>
      <c r="F27" s="17" t="n">
        <v>24062</v>
      </c>
      <c r="G27" s="18" t="s">
        <v>37</v>
      </c>
      <c r="H27" s="18" t="n">
        <v>0</v>
      </c>
      <c r="I27" s="18" t="n">
        <v>4</v>
      </c>
      <c r="J27" s="18" t="n">
        <v>6</v>
      </c>
      <c r="K27" s="18" t="n">
        <v>4</v>
      </c>
      <c r="L27" s="18" t="n">
        <v>4</v>
      </c>
      <c r="M27" s="20" t="s">
        <v>94</v>
      </c>
      <c r="N27" s="16" t="s">
        <v>95</v>
      </c>
    </row>
    <row r="28" customFormat="false" ht="15" hidden="false" customHeight="true" outlineLevel="0" collapsed="false">
      <c r="A28" s="15" t="n">
        <v>4</v>
      </c>
      <c r="B28" s="16" t="s">
        <v>93</v>
      </c>
      <c r="C28" s="16" t="s">
        <v>35</v>
      </c>
      <c r="D28" s="16" t="s">
        <v>36</v>
      </c>
      <c r="E28" s="15" t="n">
        <v>2</v>
      </c>
      <c r="F28" s="17" t="n">
        <v>23648</v>
      </c>
      <c r="G28" s="18" t="s">
        <v>37</v>
      </c>
      <c r="H28" s="18" t="n">
        <v>0</v>
      </c>
      <c r="I28" s="18" t="n">
        <v>4</v>
      </c>
      <c r="J28" s="18" t="n">
        <v>7</v>
      </c>
      <c r="K28" s="18" t="n">
        <v>4</v>
      </c>
      <c r="L28" s="18" t="n">
        <v>4</v>
      </c>
      <c r="M28" s="20" t="s">
        <v>96</v>
      </c>
      <c r="N28" s="16" t="s">
        <v>97</v>
      </c>
    </row>
    <row r="29" customFormat="false" ht="15" hidden="false" customHeight="true" outlineLevel="0" collapsed="false">
      <c r="A29" s="15" t="n">
        <v>4</v>
      </c>
      <c r="B29" s="16" t="s">
        <v>93</v>
      </c>
      <c r="C29" s="16" t="s">
        <v>42</v>
      </c>
      <c r="D29" s="16" t="s">
        <v>43</v>
      </c>
      <c r="E29" s="15" t="n">
        <v>1</v>
      </c>
      <c r="F29" s="17" t="n">
        <v>43514</v>
      </c>
      <c r="G29" s="18" t="s">
        <v>37</v>
      </c>
      <c r="H29" s="18" t="n">
        <v>0</v>
      </c>
      <c r="I29" s="18" t="n">
        <v>5</v>
      </c>
      <c r="J29" s="18" t="n">
        <v>4</v>
      </c>
      <c r="K29" s="18" t="n">
        <v>5</v>
      </c>
      <c r="L29" s="18" t="n">
        <v>5</v>
      </c>
      <c r="M29" s="20" t="s">
        <v>98</v>
      </c>
      <c r="N29" s="16" t="s">
        <v>99</v>
      </c>
    </row>
    <row r="30" customFormat="false" ht="15" hidden="false" customHeight="true" outlineLevel="0" collapsed="false">
      <c r="A30" s="15" t="n">
        <v>4</v>
      </c>
      <c r="B30" s="16" t="s">
        <v>93</v>
      </c>
      <c r="C30" s="16" t="s">
        <v>42</v>
      </c>
      <c r="D30" s="16" t="s">
        <v>43</v>
      </c>
      <c r="E30" s="15" t="n">
        <v>2</v>
      </c>
      <c r="F30" s="17" t="n">
        <v>47395</v>
      </c>
      <c r="G30" s="18" t="s">
        <v>37</v>
      </c>
      <c r="H30" s="18" t="n">
        <v>0</v>
      </c>
      <c r="I30" s="18" t="n">
        <v>5</v>
      </c>
      <c r="J30" s="18" t="n">
        <v>1</v>
      </c>
      <c r="K30" s="18" t="n">
        <v>5</v>
      </c>
      <c r="L30" s="18" t="n">
        <v>5</v>
      </c>
      <c r="M30" s="20" t="s">
        <v>100</v>
      </c>
      <c r="N30" s="16" t="s">
        <v>101</v>
      </c>
    </row>
    <row r="31" customFormat="false" ht="15" hidden="false" customHeight="true" outlineLevel="0" collapsed="false">
      <c r="A31" s="15" t="n">
        <v>4</v>
      </c>
      <c r="B31" s="16" t="s">
        <v>93</v>
      </c>
      <c r="C31" s="16" t="s">
        <v>48</v>
      </c>
      <c r="D31" s="16" t="s">
        <v>49</v>
      </c>
      <c r="E31" s="15" t="n">
        <v>1</v>
      </c>
      <c r="F31" s="17" t="n">
        <v>11590</v>
      </c>
      <c r="G31" s="18" t="s">
        <v>37</v>
      </c>
      <c r="H31" s="18" t="n">
        <v>0</v>
      </c>
      <c r="I31" s="18" t="n">
        <v>5</v>
      </c>
      <c r="J31" s="18" t="n">
        <v>5</v>
      </c>
      <c r="K31" s="18" t="n">
        <v>3</v>
      </c>
      <c r="L31" s="18" t="n">
        <v>3</v>
      </c>
      <c r="M31" s="20" t="s">
        <v>102</v>
      </c>
      <c r="N31" s="16" t="s">
        <v>103</v>
      </c>
    </row>
    <row r="32" customFormat="false" ht="15" hidden="false" customHeight="true" outlineLevel="0" collapsed="false">
      <c r="A32" s="15" t="n">
        <v>4</v>
      </c>
      <c r="B32" s="16" t="s">
        <v>93</v>
      </c>
      <c r="C32" s="16" t="s">
        <v>48</v>
      </c>
      <c r="D32" s="16" t="s">
        <v>49</v>
      </c>
      <c r="E32" s="15" t="n">
        <v>2</v>
      </c>
      <c r="F32" s="17" t="n">
        <v>14613</v>
      </c>
      <c r="G32" s="18" t="s">
        <v>37</v>
      </c>
      <c r="H32" s="18" t="n">
        <v>0</v>
      </c>
      <c r="I32" s="18" t="n">
        <v>5</v>
      </c>
      <c r="J32" s="18" t="n">
        <v>2</v>
      </c>
      <c r="K32" s="18" t="n">
        <v>3</v>
      </c>
      <c r="L32" s="18" t="n">
        <v>3</v>
      </c>
      <c r="M32" s="20" t="s">
        <v>104</v>
      </c>
      <c r="N32" s="16" t="s">
        <v>105</v>
      </c>
    </row>
    <row r="33" customFormat="false" ht="90.75" hidden="false" customHeight="true" outlineLevel="0" collapsed="false">
      <c r="A33" s="21" t="n">
        <v>0</v>
      </c>
      <c r="B33" s="21" t="s">
        <v>34</v>
      </c>
      <c r="C33" s="21" t="s">
        <v>106</v>
      </c>
      <c r="D33" s="21" t="s">
        <v>107</v>
      </c>
      <c r="E33" s="21" t="n">
        <v>1</v>
      </c>
      <c r="F33" s="21" t="n">
        <v>6030</v>
      </c>
      <c r="G33" s="21" t="s">
        <v>37</v>
      </c>
      <c r="H33" s="21" t="n">
        <v>0</v>
      </c>
      <c r="I33" s="21" t="n">
        <v>5</v>
      </c>
      <c r="J33" s="21" t="n">
        <v>0</v>
      </c>
      <c r="K33" s="21" t="n">
        <v>5</v>
      </c>
      <c r="L33" s="21" t="s">
        <v>108</v>
      </c>
      <c r="M33" s="22" t="s">
        <v>109</v>
      </c>
    </row>
    <row r="34" customFormat="false" ht="34.5" hidden="false" customHeight="true" outlineLevel="0" collapsed="false">
      <c r="A34" s="21" t="n">
        <v>0</v>
      </c>
      <c r="B34" s="21" t="s">
        <v>34</v>
      </c>
      <c r="C34" s="21" t="s">
        <v>106</v>
      </c>
      <c r="D34" s="21" t="s">
        <v>107</v>
      </c>
      <c r="E34" s="21" t="n">
        <v>2</v>
      </c>
      <c r="F34" s="21" t="n">
        <v>5531</v>
      </c>
      <c r="G34" s="21" t="s">
        <v>37</v>
      </c>
      <c r="H34" s="21" t="n">
        <v>0</v>
      </c>
      <c r="I34" s="21" t="n">
        <v>5</v>
      </c>
      <c r="J34" s="21" t="n">
        <v>0</v>
      </c>
      <c r="K34" s="21" t="n">
        <v>5</v>
      </c>
      <c r="L34" s="21" t="s">
        <v>108</v>
      </c>
      <c r="M34" s="22" t="s">
        <v>110</v>
      </c>
    </row>
    <row r="35" customFormat="false" ht="57" hidden="false" customHeight="true" outlineLevel="0" collapsed="false">
      <c r="A35" s="21" t="n">
        <v>1</v>
      </c>
      <c r="B35" s="21" t="s">
        <v>54</v>
      </c>
      <c r="C35" s="21" t="s">
        <v>106</v>
      </c>
      <c r="D35" s="21" t="s">
        <v>107</v>
      </c>
      <c r="E35" s="21" t="n">
        <v>1</v>
      </c>
      <c r="F35" s="21" t="n">
        <v>13346</v>
      </c>
      <c r="G35" s="21" t="s">
        <v>37</v>
      </c>
      <c r="H35" s="21" t="n">
        <v>0</v>
      </c>
      <c r="I35" s="21" t="n">
        <v>5</v>
      </c>
      <c r="J35" s="21" t="n">
        <v>0</v>
      </c>
      <c r="K35" s="21" t="n">
        <v>5</v>
      </c>
      <c r="L35" s="21" t="s">
        <v>108</v>
      </c>
      <c r="M35" s="22" t="s">
        <v>111</v>
      </c>
    </row>
    <row r="36" customFormat="false" ht="124.5" hidden="false" customHeight="true" outlineLevel="0" collapsed="false">
      <c r="A36" s="21" t="n">
        <v>1</v>
      </c>
      <c r="B36" s="21" t="s">
        <v>54</v>
      </c>
      <c r="C36" s="21" t="s">
        <v>106</v>
      </c>
      <c r="D36" s="21" t="s">
        <v>107</v>
      </c>
      <c r="E36" s="21" t="n">
        <v>2</v>
      </c>
      <c r="F36" s="21" t="n">
        <v>13965</v>
      </c>
      <c r="G36" s="21" t="s">
        <v>37</v>
      </c>
      <c r="H36" s="21" t="n">
        <v>2</v>
      </c>
      <c r="I36" s="21" t="n">
        <v>5</v>
      </c>
      <c r="J36" s="21" t="n">
        <v>0</v>
      </c>
      <c r="K36" s="21" t="n">
        <v>4</v>
      </c>
      <c r="L36" s="21" t="s">
        <v>108</v>
      </c>
      <c r="M36" s="22" t="s">
        <v>112</v>
      </c>
    </row>
    <row r="37" customFormat="false" ht="68.25" hidden="false" customHeight="true" outlineLevel="0" collapsed="false">
      <c r="A37" s="21" t="n">
        <v>2</v>
      </c>
      <c r="B37" s="21" t="s">
        <v>67</v>
      </c>
      <c r="C37" s="21" t="s">
        <v>106</v>
      </c>
      <c r="D37" s="21" t="s">
        <v>107</v>
      </c>
      <c r="E37" s="21" t="n">
        <v>1</v>
      </c>
      <c r="F37" s="21" t="n">
        <v>11994</v>
      </c>
      <c r="G37" s="21" t="s">
        <v>37</v>
      </c>
      <c r="H37" s="21" t="n">
        <v>1</v>
      </c>
      <c r="I37" s="21" t="n">
        <v>5</v>
      </c>
      <c r="J37" s="21" t="n">
        <v>2</v>
      </c>
      <c r="K37" s="21" t="n">
        <v>5</v>
      </c>
      <c r="L37" s="21" t="s">
        <v>108</v>
      </c>
      <c r="M37" s="22" t="s">
        <v>113</v>
      </c>
    </row>
    <row r="38" customFormat="false" ht="79.5" hidden="false" customHeight="true" outlineLevel="0" collapsed="false">
      <c r="A38" s="21" t="n">
        <v>2</v>
      </c>
      <c r="B38" s="21" t="s">
        <v>67</v>
      </c>
      <c r="C38" s="21" t="s">
        <v>106</v>
      </c>
      <c r="D38" s="21" t="s">
        <v>107</v>
      </c>
      <c r="E38" s="21" t="n">
        <v>2</v>
      </c>
      <c r="F38" s="21" t="n">
        <v>11651</v>
      </c>
      <c r="G38" s="21" t="s">
        <v>37</v>
      </c>
      <c r="H38" s="21" t="n">
        <v>1</v>
      </c>
      <c r="I38" s="21" t="n">
        <v>5</v>
      </c>
      <c r="J38" s="21" t="n">
        <v>3</v>
      </c>
      <c r="K38" s="21" t="n">
        <v>4</v>
      </c>
      <c r="L38" s="21" t="s">
        <v>108</v>
      </c>
      <c r="M38" s="22" t="s">
        <v>114</v>
      </c>
    </row>
    <row r="39" customFormat="false" ht="79.5" hidden="false" customHeight="true" outlineLevel="0" collapsed="false">
      <c r="A39" s="21" t="n">
        <v>3</v>
      </c>
      <c r="B39" s="21" t="s">
        <v>80</v>
      </c>
      <c r="C39" s="21" t="s">
        <v>106</v>
      </c>
      <c r="D39" s="21" t="s">
        <v>107</v>
      </c>
      <c r="E39" s="21" t="n">
        <v>1</v>
      </c>
      <c r="F39" s="21" t="n">
        <v>14221</v>
      </c>
      <c r="G39" s="21" t="s">
        <v>37</v>
      </c>
      <c r="H39" s="21" t="n">
        <v>0</v>
      </c>
      <c r="I39" s="21" t="n">
        <v>5</v>
      </c>
      <c r="J39" s="21" t="n">
        <v>1</v>
      </c>
      <c r="K39" s="21" t="n">
        <v>5</v>
      </c>
      <c r="L39" s="21" t="s">
        <v>108</v>
      </c>
      <c r="M39" s="22" t="s">
        <v>115</v>
      </c>
    </row>
    <row r="40" customFormat="false" ht="90.75" hidden="false" customHeight="true" outlineLevel="0" collapsed="false">
      <c r="A40" s="21" t="n">
        <v>3</v>
      </c>
      <c r="B40" s="21" t="s">
        <v>80</v>
      </c>
      <c r="C40" s="21" t="s">
        <v>106</v>
      </c>
      <c r="D40" s="21" t="s">
        <v>107</v>
      </c>
      <c r="E40" s="21" t="n">
        <v>2</v>
      </c>
      <c r="F40" s="21" t="n">
        <v>14567</v>
      </c>
      <c r="G40" s="21" t="s">
        <v>37</v>
      </c>
      <c r="H40" s="21" t="n">
        <v>0</v>
      </c>
      <c r="I40" s="21" t="n">
        <v>5</v>
      </c>
      <c r="J40" s="21" t="n">
        <v>1</v>
      </c>
      <c r="K40" s="21" t="n">
        <v>4</v>
      </c>
      <c r="L40" s="21" t="s">
        <v>108</v>
      </c>
      <c r="M40" s="22" t="s">
        <v>116</v>
      </c>
    </row>
    <row r="41" customFormat="false" ht="202.5" hidden="false" customHeight="true" outlineLevel="0" collapsed="false">
      <c r="A41" s="21" t="n">
        <v>4</v>
      </c>
      <c r="B41" s="21" t="s">
        <v>93</v>
      </c>
      <c r="C41" s="21" t="s">
        <v>106</v>
      </c>
      <c r="D41" s="21" t="s">
        <v>107</v>
      </c>
      <c r="E41" s="21" t="n">
        <v>1</v>
      </c>
      <c r="F41" s="21" t="n">
        <v>11772</v>
      </c>
      <c r="G41" s="21" t="s">
        <v>37</v>
      </c>
      <c r="H41" s="21" t="n">
        <v>2</v>
      </c>
      <c r="I41" s="21" t="n">
        <v>5</v>
      </c>
      <c r="J41" s="21" t="n">
        <v>0</v>
      </c>
      <c r="K41" s="21"/>
      <c r="L41" s="21" t="n">
        <v>4</v>
      </c>
      <c r="M41" s="22" t="s">
        <v>117</v>
      </c>
    </row>
    <row r="42" customFormat="false" ht="135.75" hidden="false" customHeight="true" outlineLevel="0" collapsed="false">
      <c r="A42" s="21" t="n">
        <v>4</v>
      </c>
      <c r="B42" s="21" t="s">
        <v>93</v>
      </c>
      <c r="C42" s="21" t="s">
        <v>106</v>
      </c>
      <c r="D42" s="21" t="s">
        <v>107</v>
      </c>
      <c r="E42" s="21" t="n">
        <v>2</v>
      </c>
      <c r="F42" s="21" t="n">
        <v>14388</v>
      </c>
      <c r="G42" s="21" t="s">
        <v>37</v>
      </c>
      <c r="H42" s="21" t="n">
        <v>0</v>
      </c>
      <c r="I42" s="21" t="n">
        <v>5</v>
      </c>
      <c r="J42" s="21" t="n">
        <v>1</v>
      </c>
      <c r="K42" s="21" t="n">
        <v>3</v>
      </c>
      <c r="L42" s="21" t="n">
        <v>3</v>
      </c>
      <c r="M42" s="22" t="s">
        <v>118</v>
      </c>
    </row>
    <row r="43" customFormat="false" ht="45.75" hidden="false" customHeight="true" outlineLevel="0" collapsed="false">
      <c r="A43" s="21" t="n">
        <v>0</v>
      </c>
      <c r="B43" s="21" t="s">
        <v>34</v>
      </c>
      <c r="C43" s="21" t="s">
        <v>35</v>
      </c>
      <c r="D43" s="21" t="s">
        <v>36</v>
      </c>
      <c r="E43" s="21" t="n">
        <v>3</v>
      </c>
      <c r="F43" s="21" t="n">
        <v>16348</v>
      </c>
      <c r="G43" s="21" t="s">
        <v>37</v>
      </c>
      <c r="H43" s="21" t="n">
        <v>0</v>
      </c>
      <c r="I43" s="21" t="n">
        <v>5</v>
      </c>
      <c r="J43" s="21" t="n">
        <v>0</v>
      </c>
      <c r="K43" s="21" t="n">
        <v>5</v>
      </c>
      <c r="L43" s="21" t="s">
        <v>108</v>
      </c>
      <c r="M43" s="22" t="s">
        <v>119</v>
      </c>
    </row>
    <row r="44" customFormat="false" ht="34.5" hidden="false" customHeight="true" outlineLevel="0" collapsed="false">
      <c r="A44" s="21" t="n">
        <v>0</v>
      </c>
      <c r="B44" s="21" t="s">
        <v>34</v>
      </c>
      <c r="C44" s="21" t="s">
        <v>48</v>
      </c>
      <c r="D44" s="21" t="s">
        <v>120</v>
      </c>
      <c r="E44" s="21" t="n">
        <v>3</v>
      </c>
      <c r="F44" s="21" t="n">
        <v>3421</v>
      </c>
      <c r="G44" s="21" t="s">
        <v>37</v>
      </c>
      <c r="H44" s="21" t="n">
        <v>0</v>
      </c>
      <c r="I44" s="21" t="n">
        <v>5</v>
      </c>
      <c r="J44" s="21" t="n">
        <v>0</v>
      </c>
      <c r="K44" s="21" t="n">
        <v>5</v>
      </c>
      <c r="L44" s="21" t="s">
        <v>108</v>
      </c>
      <c r="M44" s="22" t="s">
        <v>121</v>
      </c>
    </row>
    <row r="45" customFormat="false" ht="34.5" hidden="false" customHeight="true" outlineLevel="0" collapsed="false">
      <c r="A45" s="21" t="n">
        <v>0</v>
      </c>
      <c r="B45" s="21" t="s">
        <v>34</v>
      </c>
      <c r="C45" s="21" t="s">
        <v>42</v>
      </c>
      <c r="D45" s="21" t="s">
        <v>43</v>
      </c>
      <c r="E45" s="21" t="n">
        <v>3</v>
      </c>
      <c r="F45" s="21" t="n">
        <v>3843</v>
      </c>
      <c r="G45" s="21" t="s">
        <v>37</v>
      </c>
      <c r="H45" s="21" t="n">
        <v>0</v>
      </c>
      <c r="I45" s="21" t="n">
        <v>5</v>
      </c>
      <c r="J45" s="21" t="n">
        <v>0</v>
      </c>
      <c r="K45" s="21" t="n">
        <v>5</v>
      </c>
      <c r="L45" s="21" t="s">
        <v>108</v>
      </c>
      <c r="M45" s="22" t="s">
        <v>122</v>
      </c>
    </row>
    <row r="46" customFormat="false" ht="34.5" hidden="false" customHeight="true" outlineLevel="0" collapsed="false">
      <c r="A46" s="21" t="n">
        <v>0</v>
      </c>
      <c r="B46" s="21" t="s">
        <v>34</v>
      </c>
      <c r="C46" s="21" t="s">
        <v>106</v>
      </c>
      <c r="D46" s="21" t="s">
        <v>107</v>
      </c>
      <c r="E46" s="21" t="n">
        <v>3</v>
      </c>
      <c r="F46" s="21" t="n">
        <v>6146</v>
      </c>
      <c r="G46" s="21" t="s">
        <v>37</v>
      </c>
      <c r="H46" s="21" t="n">
        <v>0</v>
      </c>
      <c r="I46" s="21" t="n">
        <v>5</v>
      </c>
      <c r="J46" s="21" t="n">
        <v>0</v>
      </c>
      <c r="K46" s="21" t="n">
        <v>5</v>
      </c>
      <c r="L46" s="21" t="s">
        <v>108</v>
      </c>
      <c r="M46" s="22" t="s">
        <v>123</v>
      </c>
    </row>
    <row r="47" customFormat="false" ht="45.75" hidden="false" customHeight="true" outlineLevel="0" collapsed="false">
      <c r="A47" s="21" t="n">
        <v>1</v>
      </c>
      <c r="B47" s="21" t="s">
        <v>54</v>
      </c>
      <c r="C47" s="21" t="s">
        <v>35</v>
      </c>
      <c r="D47" s="21" t="s">
        <v>36</v>
      </c>
      <c r="E47" s="21" t="n">
        <v>3</v>
      </c>
      <c r="F47" s="21" t="n">
        <v>16263</v>
      </c>
      <c r="G47" s="21" t="s">
        <v>37</v>
      </c>
      <c r="H47" s="21" t="n">
        <v>0</v>
      </c>
      <c r="I47" s="21" t="n">
        <v>5</v>
      </c>
      <c r="J47" s="21" t="n">
        <v>0</v>
      </c>
      <c r="K47" s="21" t="n">
        <v>5</v>
      </c>
      <c r="L47" s="21" t="s">
        <v>108</v>
      </c>
      <c r="M47" s="22" t="s">
        <v>124</v>
      </c>
    </row>
    <row r="48" customFormat="false" ht="57" hidden="false" customHeight="true" outlineLevel="0" collapsed="false">
      <c r="A48" s="21" t="n">
        <v>1</v>
      </c>
      <c r="B48" s="21" t="s">
        <v>54</v>
      </c>
      <c r="C48" s="21" t="s">
        <v>48</v>
      </c>
      <c r="D48" s="21" t="s">
        <v>120</v>
      </c>
      <c r="E48" s="21" t="n">
        <v>3</v>
      </c>
      <c r="F48" s="21" t="n">
        <v>8189</v>
      </c>
      <c r="G48" s="21" t="s">
        <v>37</v>
      </c>
      <c r="H48" s="21" t="n">
        <v>0</v>
      </c>
      <c r="I48" s="21" t="n">
        <v>5</v>
      </c>
      <c r="J48" s="21" t="n">
        <v>0</v>
      </c>
      <c r="K48" s="21" t="n">
        <v>4</v>
      </c>
      <c r="L48" s="21" t="s">
        <v>108</v>
      </c>
      <c r="M48" s="22" t="s">
        <v>125</v>
      </c>
    </row>
    <row r="49" customFormat="false" ht="45.75" hidden="false" customHeight="true" outlineLevel="0" collapsed="false">
      <c r="A49" s="21" t="n">
        <v>1</v>
      </c>
      <c r="B49" s="21" t="s">
        <v>54</v>
      </c>
      <c r="C49" s="21" t="s">
        <v>42</v>
      </c>
      <c r="D49" s="21" t="s">
        <v>43</v>
      </c>
      <c r="E49" s="21" t="n">
        <v>3</v>
      </c>
      <c r="F49" s="21" t="n">
        <v>23557</v>
      </c>
      <c r="G49" s="21" t="s">
        <v>37</v>
      </c>
      <c r="H49" s="21" t="n">
        <v>0</v>
      </c>
      <c r="I49" s="21" t="n">
        <v>5</v>
      </c>
      <c r="J49" s="21" t="n">
        <v>0</v>
      </c>
      <c r="K49" s="21" t="n">
        <v>5</v>
      </c>
      <c r="L49" s="21" t="s">
        <v>108</v>
      </c>
      <c r="M49" s="22" t="s">
        <v>126</v>
      </c>
    </row>
    <row r="50" customFormat="false" ht="79.5" hidden="false" customHeight="true" outlineLevel="0" collapsed="false">
      <c r="A50" s="21" t="n">
        <v>1</v>
      </c>
      <c r="B50" s="21" t="s">
        <v>54</v>
      </c>
      <c r="C50" s="21" t="s">
        <v>106</v>
      </c>
      <c r="D50" s="21" t="s">
        <v>107</v>
      </c>
      <c r="E50" s="21" t="n">
        <v>3</v>
      </c>
      <c r="F50" s="21" t="n">
        <v>13266</v>
      </c>
      <c r="G50" s="21" t="s">
        <v>37</v>
      </c>
      <c r="H50" s="21" t="n">
        <v>2</v>
      </c>
      <c r="I50" s="21" t="n">
        <v>5</v>
      </c>
      <c r="J50" s="21" t="n">
        <v>0</v>
      </c>
      <c r="K50" s="21" t="n">
        <v>4</v>
      </c>
      <c r="L50" s="21" t="s">
        <v>108</v>
      </c>
      <c r="M50" s="22" t="s">
        <v>127</v>
      </c>
    </row>
    <row r="51" customFormat="false" ht="23.25" hidden="false" customHeight="true" outlineLevel="0" collapsed="false">
      <c r="A51" s="21" t="n">
        <v>2</v>
      </c>
      <c r="B51" s="21" t="s">
        <v>67</v>
      </c>
      <c r="C51" s="21" t="s">
        <v>35</v>
      </c>
      <c r="D51" s="21" t="s">
        <v>36</v>
      </c>
      <c r="E51" s="21" t="n">
        <v>3</v>
      </c>
      <c r="F51" s="21" t="n">
        <v>19857</v>
      </c>
      <c r="G51" s="21" t="s">
        <v>37</v>
      </c>
      <c r="H51" s="21" t="n">
        <v>0</v>
      </c>
      <c r="I51" s="21" t="n">
        <v>5</v>
      </c>
      <c r="J51" s="21" t="n">
        <v>1</v>
      </c>
      <c r="K51" s="21" t="n">
        <v>5</v>
      </c>
      <c r="L51" s="21" t="s">
        <v>108</v>
      </c>
      <c r="M51" s="22" t="s">
        <v>128</v>
      </c>
    </row>
    <row r="52" customFormat="false" ht="45.75" hidden="false" customHeight="true" outlineLevel="0" collapsed="false">
      <c r="A52" s="21" t="n">
        <v>2</v>
      </c>
      <c r="B52" s="21" t="s">
        <v>67</v>
      </c>
      <c r="C52" s="21" t="s">
        <v>48</v>
      </c>
      <c r="D52" s="21" t="s">
        <v>120</v>
      </c>
      <c r="E52" s="21" t="n">
        <v>3</v>
      </c>
      <c r="F52" s="21" t="n">
        <v>6999</v>
      </c>
      <c r="G52" s="21" t="s">
        <v>37</v>
      </c>
      <c r="H52" s="21" t="n">
        <v>0</v>
      </c>
      <c r="I52" s="21" t="n">
        <v>5</v>
      </c>
      <c r="J52" s="21" t="n">
        <v>0</v>
      </c>
      <c r="K52" s="21" t="n">
        <v>5</v>
      </c>
      <c r="L52" s="21" t="s">
        <v>108</v>
      </c>
      <c r="M52" s="22" t="s">
        <v>129</v>
      </c>
    </row>
    <row r="53" customFormat="false" ht="34.5" hidden="false" customHeight="true" outlineLevel="0" collapsed="false">
      <c r="A53" s="21" t="n">
        <v>2</v>
      </c>
      <c r="B53" s="21" t="s">
        <v>67</v>
      </c>
      <c r="C53" s="21" t="s">
        <v>42</v>
      </c>
      <c r="D53" s="21" t="s">
        <v>43</v>
      </c>
      <c r="E53" s="21" t="n">
        <v>3</v>
      </c>
      <c r="F53" s="21" t="n">
        <v>15580</v>
      </c>
      <c r="G53" s="21" t="s">
        <v>37</v>
      </c>
      <c r="H53" s="21" t="n">
        <v>0</v>
      </c>
      <c r="I53" s="21" t="n">
        <v>5</v>
      </c>
      <c r="J53" s="21" t="n">
        <v>1</v>
      </c>
      <c r="K53" s="21" t="n">
        <v>5</v>
      </c>
      <c r="L53" s="21" t="s">
        <v>108</v>
      </c>
      <c r="M53" s="22" t="s">
        <v>130</v>
      </c>
    </row>
    <row r="54" customFormat="false" ht="90.75" hidden="false" customHeight="true" outlineLevel="0" collapsed="false">
      <c r="A54" s="21" t="n">
        <v>2</v>
      </c>
      <c r="B54" s="21" t="s">
        <v>67</v>
      </c>
      <c r="C54" s="21" t="s">
        <v>106</v>
      </c>
      <c r="D54" s="21" t="s">
        <v>107</v>
      </c>
      <c r="E54" s="21" t="n">
        <v>3</v>
      </c>
      <c r="F54" s="21" t="n">
        <v>12082</v>
      </c>
      <c r="G54" s="21" t="s">
        <v>37</v>
      </c>
      <c r="H54" s="21" t="n">
        <v>2</v>
      </c>
      <c r="I54" s="21" t="n">
        <v>5</v>
      </c>
      <c r="J54" s="21" t="n">
        <v>0</v>
      </c>
      <c r="K54" s="21" t="n">
        <v>4</v>
      </c>
      <c r="L54" s="21" t="s">
        <v>108</v>
      </c>
      <c r="M54" s="22" t="s">
        <v>131</v>
      </c>
    </row>
    <row r="55" customFormat="false" ht="34.5" hidden="false" customHeight="true" outlineLevel="0" collapsed="false">
      <c r="A55" s="21" t="n">
        <v>3</v>
      </c>
      <c r="B55" s="21" t="s">
        <v>80</v>
      </c>
      <c r="C55" s="21" t="s">
        <v>35</v>
      </c>
      <c r="D55" s="21" t="s">
        <v>36</v>
      </c>
      <c r="E55" s="21" t="n">
        <v>3</v>
      </c>
      <c r="F55" s="21" t="n">
        <v>18873</v>
      </c>
      <c r="G55" s="21" t="s">
        <v>37</v>
      </c>
      <c r="H55" s="21" t="n">
        <v>0</v>
      </c>
      <c r="I55" s="21" t="n">
        <v>5</v>
      </c>
      <c r="J55" s="21" t="n">
        <v>1</v>
      </c>
      <c r="K55" s="21" t="n">
        <v>5</v>
      </c>
      <c r="L55" s="21" t="s">
        <v>108</v>
      </c>
      <c r="M55" s="22" t="s">
        <v>132</v>
      </c>
    </row>
    <row r="56" customFormat="false" ht="90.75" hidden="false" customHeight="true" outlineLevel="0" collapsed="false">
      <c r="A56" s="21" t="n">
        <v>3</v>
      </c>
      <c r="B56" s="21" t="s">
        <v>80</v>
      </c>
      <c r="C56" s="21" t="s">
        <v>48</v>
      </c>
      <c r="D56" s="21" t="s">
        <v>120</v>
      </c>
      <c r="E56" s="21" t="n">
        <v>3</v>
      </c>
      <c r="F56" s="21" t="n">
        <v>10857</v>
      </c>
      <c r="G56" s="21" t="s">
        <v>37</v>
      </c>
      <c r="H56" s="21" t="n">
        <v>0</v>
      </c>
      <c r="I56" s="21" t="n">
        <v>5</v>
      </c>
      <c r="J56" s="21" t="n">
        <v>2</v>
      </c>
      <c r="K56" s="21" t="n">
        <v>4</v>
      </c>
      <c r="L56" s="21" t="s">
        <v>108</v>
      </c>
      <c r="M56" s="22" t="s">
        <v>133</v>
      </c>
    </row>
    <row r="57" customFormat="false" ht="45.75" hidden="false" customHeight="true" outlineLevel="0" collapsed="false">
      <c r="A57" s="21" t="n">
        <v>3</v>
      </c>
      <c r="B57" s="21" t="s">
        <v>80</v>
      </c>
      <c r="C57" s="21" t="s">
        <v>42</v>
      </c>
      <c r="D57" s="21" t="s">
        <v>43</v>
      </c>
      <c r="E57" s="21" t="n">
        <v>3</v>
      </c>
      <c r="F57" s="21" t="n">
        <v>36307</v>
      </c>
      <c r="G57" s="21" t="s">
        <v>37</v>
      </c>
      <c r="H57" s="21" t="n">
        <v>0</v>
      </c>
      <c r="I57" s="21" t="n">
        <v>5</v>
      </c>
      <c r="J57" s="21" t="n">
        <v>1</v>
      </c>
      <c r="K57" s="21" t="n">
        <v>5</v>
      </c>
      <c r="L57" s="21" t="s">
        <v>108</v>
      </c>
      <c r="M57" s="22" t="s">
        <v>134</v>
      </c>
    </row>
    <row r="58" customFormat="false" ht="79.5" hidden="false" customHeight="true" outlineLevel="0" collapsed="false">
      <c r="A58" s="21" t="n">
        <v>3</v>
      </c>
      <c r="B58" s="21" t="s">
        <v>80</v>
      </c>
      <c r="C58" s="21" t="s">
        <v>106</v>
      </c>
      <c r="D58" s="21" t="s">
        <v>107</v>
      </c>
      <c r="E58" s="21" t="n">
        <v>3</v>
      </c>
      <c r="F58" s="21" t="n">
        <v>15766</v>
      </c>
      <c r="G58" s="21" t="s">
        <v>37</v>
      </c>
      <c r="H58" s="21" t="n">
        <v>1</v>
      </c>
      <c r="I58" s="21" t="n">
        <v>5</v>
      </c>
      <c r="J58" s="21" t="n">
        <v>0</v>
      </c>
      <c r="K58" s="21" t="n">
        <v>4</v>
      </c>
      <c r="L58" s="21" t="s">
        <v>108</v>
      </c>
      <c r="M58" s="22" t="s">
        <v>135</v>
      </c>
    </row>
    <row r="59" customFormat="false" ht="135.75" hidden="false" customHeight="true" outlineLevel="0" collapsed="false">
      <c r="A59" s="21" t="n">
        <v>4</v>
      </c>
      <c r="B59" s="21" t="s">
        <v>93</v>
      </c>
      <c r="C59" s="21" t="s">
        <v>35</v>
      </c>
      <c r="D59" s="21" t="s">
        <v>36</v>
      </c>
      <c r="E59" s="21" t="n">
        <v>3</v>
      </c>
      <c r="F59" s="21" t="n">
        <v>18384</v>
      </c>
      <c r="G59" s="21" t="s">
        <v>37</v>
      </c>
      <c r="H59" s="21" t="n">
        <v>0</v>
      </c>
      <c r="I59" s="21" t="n">
        <v>5</v>
      </c>
      <c r="J59" s="21" t="n">
        <v>1</v>
      </c>
      <c r="K59" s="21" t="n">
        <v>5</v>
      </c>
      <c r="L59" s="21" t="n">
        <v>4</v>
      </c>
      <c r="M59" s="22" t="s">
        <v>136</v>
      </c>
    </row>
    <row r="60" customFormat="false" ht="113.25" hidden="false" customHeight="true" outlineLevel="0" collapsed="false">
      <c r="A60" s="21" t="n">
        <v>4</v>
      </c>
      <c r="B60" s="21" t="s">
        <v>93</v>
      </c>
      <c r="C60" s="21" t="s">
        <v>48</v>
      </c>
      <c r="D60" s="21" t="s">
        <v>120</v>
      </c>
      <c r="E60" s="21" t="n">
        <v>3</v>
      </c>
      <c r="F60" s="21" t="n">
        <v>14231</v>
      </c>
      <c r="G60" s="21" t="s">
        <v>37</v>
      </c>
      <c r="H60" s="21" t="n">
        <v>0</v>
      </c>
      <c r="I60" s="21" t="n">
        <v>5</v>
      </c>
      <c r="J60" s="21" t="n">
        <v>2</v>
      </c>
      <c r="K60" s="21" t="n">
        <v>2</v>
      </c>
      <c r="L60" s="21" t="n">
        <v>2</v>
      </c>
      <c r="M60" s="22" t="s">
        <v>137</v>
      </c>
    </row>
    <row r="61" customFormat="false" ht="113.25" hidden="false" customHeight="true" outlineLevel="0" collapsed="false">
      <c r="A61" s="21" t="n">
        <v>4</v>
      </c>
      <c r="B61" s="21" t="s">
        <v>93</v>
      </c>
      <c r="C61" s="21" t="s">
        <v>42</v>
      </c>
      <c r="D61" s="21" t="s">
        <v>43</v>
      </c>
      <c r="E61" s="21" t="n">
        <v>3</v>
      </c>
      <c r="F61" s="21" t="n">
        <v>45058</v>
      </c>
      <c r="G61" s="21" t="s">
        <v>37</v>
      </c>
      <c r="H61" s="21" t="n">
        <v>0</v>
      </c>
      <c r="I61" s="21" t="n">
        <v>5</v>
      </c>
      <c r="J61" s="21" t="n">
        <v>4</v>
      </c>
      <c r="K61" s="21" t="n">
        <v>5</v>
      </c>
      <c r="L61" s="21" t="n">
        <v>5</v>
      </c>
      <c r="M61" s="22" t="s">
        <v>138</v>
      </c>
    </row>
    <row r="62" customFormat="false" ht="57" hidden="false" customHeight="true" outlineLevel="0" collapsed="false">
      <c r="A62" s="21" t="n">
        <v>4</v>
      </c>
      <c r="B62" s="21" t="s">
        <v>93</v>
      </c>
      <c r="C62" s="21" t="s">
        <v>106</v>
      </c>
      <c r="D62" s="21" t="s">
        <v>107</v>
      </c>
      <c r="E62" s="21" t="n">
        <v>3</v>
      </c>
      <c r="F62" s="21" t="n">
        <v>17001</v>
      </c>
      <c r="G62" s="21" t="s">
        <v>37</v>
      </c>
      <c r="H62" s="21" t="n">
        <v>0</v>
      </c>
      <c r="I62" s="21" t="n">
        <v>5</v>
      </c>
      <c r="J62" s="21" t="n">
        <v>0</v>
      </c>
      <c r="K62" s="21" t="n">
        <v>4</v>
      </c>
      <c r="L62" s="21" t="n">
        <v>4</v>
      </c>
      <c r="M62" s="22" t="s">
        <v>139</v>
      </c>
    </row>
  </sheetData>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0"/>
    <col collapsed="false" customWidth="true" hidden="false" outlineLevel="0" max="4" min="4" style="1" width="16"/>
    <col collapsed="false" customWidth="true" hidden="false" outlineLevel="0" max="5" min="5" style="1" width="24"/>
    <col collapsed="false" customWidth="true" hidden="false" outlineLevel="0" max="6" min="6" style="1" width="16"/>
    <col collapsed="false" customWidth="true" hidden="false" outlineLevel="0" max="7" min="7" style="1" width="18"/>
  </cols>
  <sheetData>
    <row r="1" customFormat="false" ht="17.25" hidden="false" customHeight="true" outlineLevel="0" collapsed="false">
      <c r="A1" s="2" t="s">
        <v>140</v>
      </c>
      <c r="B1" s="2"/>
      <c r="C1" s="2"/>
      <c r="D1" s="2"/>
      <c r="E1" s="2"/>
      <c r="F1" s="2"/>
      <c r="G1" s="2"/>
    </row>
    <row r="2" customFormat="false" ht="15" hidden="false" customHeight="true" outlineLevel="0" collapsed="false">
      <c r="A2" s="3" t="s">
        <v>141</v>
      </c>
      <c r="B2" s="3"/>
      <c r="C2" s="3"/>
      <c r="D2" s="3"/>
      <c r="E2" s="3"/>
      <c r="F2" s="3"/>
      <c r="G2" s="3"/>
    </row>
    <row r="4" customFormat="false" ht="23.25" hidden="false" customHeight="true" outlineLevel="0" collapsed="false">
      <c r="A4" s="14" t="s">
        <v>28</v>
      </c>
      <c r="B4" s="14" t="s">
        <v>142</v>
      </c>
      <c r="C4" s="14" t="s">
        <v>143</v>
      </c>
      <c r="D4" s="14" t="s">
        <v>144</v>
      </c>
      <c r="E4" s="14" t="s">
        <v>145</v>
      </c>
      <c r="F4" s="14" t="s">
        <v>146</v>
      </c>
      <c r="G4" s="14" t="s">
        <v>147</v>
      </c>
    </row>
    <row r="5" customFormat="false" ht="15" hidden="false" customHeight="true" outlineLevel="0" collapsed="false">
      <c r="A5" s="15" t="s">
        <v>35</v>
      </c>
      <c r="B5" s="23" t="n">
        <f aca="false">IFERROR(COUNTIFS(Avaliacao!C3:C62,A5,Avaliacao!G3:G62,"S")/COUNTIFS(Avaliacao!C3:C62,A5,Avaliacao!G3:G62,"&lt;&gt;")*100,"")</f>
        <v>100</v>
      </c>
      <c r="C5" s="23" t="n">
        <f aca="false">IFERROR(AVERAGEIFS(Avaliacao!H3:H62,Avaliacao!C3:C62,A5),"")</f>
        <v>0</v>
      </c>
      <c r="D5" s="23" t="n">
        <f aca="false">IFERROR(AVERAGEIFS(Avaliacao!I3:I62,Avaliacao!C3:C62,A5),"")</f>
        <v>4.86666666666667</v>
      </c>
      <c r="E5" s="23" t="n">
        <f aca="false">IFERROR(AVERAGEIFS(Avaliacao!J3:J62,Avaliacao!C3:C62,A5),"")</f>
        <v>1.2</v>
      </c>
      <c r="F5" s="23" t="n">
        <f aca="false">IFERROR(AVERAGEIFS(Avaliacao!K3:K62,Avaliacao!C3:C62,A5),"")</f>
        <v>4.86666666666667</v>
      </c>
      <c r="G5" s="23" t="n">
        <f aca="false">IFERROR(AVERAGEIFS(Avaliacao!L3:L62,Avaliacao!C3:C62,A5,Avaliacao!A3:A62,4),"")</f>
        <v>4</v>
      </c>
    </row>
    <row r="6" customFormat="false" ht="15" hidden="false" customHeight="true" outlineLevel="0" collapsed="false">
      <c r="A6" s="15" t="s">
        <v>42</v>
      </c>
      <c r="B6" s="23" t="n">
        <f aca="false">IFERROR(COUNTIFS(Avaliacao!C3:C62,A6,Avaliacao!G3:G62,"S")/COUNTIFS(Avaliacao!C3:C62,A6,Avaliacao!G3:G62,"&lt;&gt;")*100,"")</f>
        <v>100</v>
      </c>
      <c r="C6" s="23" t="n">
        <f aca="false">IFERROR(AVERAGEIFS(Avaliacao!H3:H62,Avaliacao!C3:C62,A6),"")</f>
        <v>0</v>
      </c>
      <c r="D6" s="23" t="n">
        <f aca="false">IFERROR(AVERAGEIFS(Avaliacao!I3:I62,Avaliacao!C3:C62,A6),"")</f>
        <v>5</v>
      </c>
      <c r="E6" s="23" t="n">
        <f aca="false">IFERROR(AVERAGEIFS(Avaliacao!J3:J62,Avaliacao!C3:C62,A6),"")</f>
        <v>0.866666666666667</v>
      </c>
      <c r="F6" s="23" t="n">
        <f aca="false">IFERROR(AVERAGEIFS(Avaliacao!K3:K62,Avaliacao!C3:C62,A6),"")</f>
        <v>4.93333333333333</v>
      </c>
      <c r="G6" s="23" t="n">
        <f aca="false">IFERROR(AVERAGEIFS(Avaliacao!L3:L62,Avaliacao!C3:C62,A6,Avaliacao!A3:A62,4),"")</f>
        <v>5</v>
      </c>
    </row>
    <row r="7" customFormat="false" ht="15" hidden="false" customHeight="true" outlineLevel="0" collapsed="false">
      <c r="A7" s="15" t="s">
        <v>48</v>
      </c>
      <c r="B7" s="23" t="n">
        <f aca="false">IFERROR(COUNTIFS(Avaliacao!C3:C62,A7,Avaliacao!G3:G62,"S")/COUNTIFS(Avaliacao!C3:C62,A7,Avaliacao!G3:G62,"&lt;&gt;")*100,"")</f>
        <v>100</v>
      </c>
      <c r="C7" s="23" t="n">
        <f aca="false">IFERROR(AVERAGEIFS(Avaliacao!H3:H62,Avaliacao!C3:C62,A7),"")</f>
        <v>0</v>
      </c>
      <c r="D7" s="23" t="n">
        <f aca="false">IFERROR(AVERAGEIFS(Avaliacao!I3:I62,Avaliacao!C3:C62,A7),"")</f>
        <v>4.6</v>
      </c>
      <c r="E7" s="23" t="n">
        <f aca="false">IFERROR(AVERAGEIFS(Avaliacao!J3:J62,Avaliacao!C3:C62,A7),"")</f>
        <v>0.733333333333333</v>
      </c>
      <c r="F7" s="23" t="n">
        <f aca="false">IFERROR(AVERAGEIFS(Avaliacao!K3:K62,Avaliacao!C3:C62,A7),"")</f>
        <v>3.6</v>
      </c>
      <c r="G7" s="23" t="n">
        <f aca="false">IFERROR(AVERAGEIFS(Avaliacao!L3:L62,Avaliacao!C3:C62,A7,Avaliacao!A3:A62,4),"")</f>
        <v>2.66666666666667</v>
      </c>
    </row>
    <row r="8" customFormat="false" ht="15" hidden="false" customHeight="true" outlineLevel="0" collapsed="false">
      <c r="A8" s="24" t="s">
        <v>106</v>
      </c>
      <c r="B8" s="25" t="n">
        <f aca="false">IFERROR(COUNTIFS(Avaliacao!C3:C62,A8,Avaliacao!G3:G62,"S")/COUNTIFS(Avaliacao!C3:C62,A8,Avaliacao!G3:G62,"&lt;&gt;")*100,"")</f>
        <v>100</v>
      </c>
      <c r="C8" s="25" t="n">
        <f aca="false">IFERROR(AVERAGEIFS(Avaliacao!H3:H62,Avaliacao!C3:C62,A8),"")</f>
        <v>0.733333333333333</v>
      </c>
      <c r="D8" s="25" t="n">
        <f aca="false">IFERROR(AVERAGEIFS(Avaliacao!I3:I62,Avaliacao!C3:C62,A8),"")</f>
        <v>5</v>
      </c>
      <c r="E8" s="25" t="n">
        <f aca="false">IFERROR(AVERAGEIFS(Avaliacao!J3:J62,Avaliacao!C3:C62,A8),"")</f>
        <v>0.533333333333333</v>
      </c>
      <c r="F8" s="25" t="n">
        <f aca="false">IFERROR(AVERAGEIFS(Avaliacao!K3:K62,Avaliacao!C3:C62,A8),"")</f>
        <v>4.35714285714286</v>
      </c>
      <c r="G8" s="25" t="n">
        <f aca="false">IFERROR(AVERAGEIFS(Avaliacao!L3:L62,Avaliacao!C3:C62,A8,Avaliacao!A3:A62,4),"")</f>
        <v>3.66666666666667</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2026-08-18T22:02:30Z</dcterms:created>
  <dc:creator>openpyxl</dc:creator>
  <dc:description/>
  <dc:language>en-US</dc:language>
  <cp:lastModifiedBy/>
  <dcterms:modified xsi:type="dcterms:W3CDTF">2026-08-31T13:43:07Z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