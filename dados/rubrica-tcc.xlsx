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Avaliacao" sheetId="2" state="visible" r:id="rId4"/>
    <sheet name="Resumo por Proved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<sst xmlns="http://schemas.openxmlformats.org/spreadsheetml/2006/main" count="232" uniqueCount="114">
  <si>
    <t xml:space="preserve">Rubrica de avaliacao — TCC LLMs x Complexidade Progressiva</t>
  </si>
  <si>
    <t xml:space="preserve">Preencha as celulas amarelas na aba 'Avaliacao' apos revisar cada um dos 30 arquivos em outputs/.</t>
  </si>
  <si>
    <t xml:space="preserve">Coluna</t>
  </si>
  <si>
    <t xml:space="preserve">Como preencher</t>
  </si>
  <si>
    <t xml:space="preserve">Rodou sem erro? (S/N)</t>
  </si>
  <si>
    <t xml:space="preserve">Extraia o codigo do .md, rode de verdade (idealmente em container/ambiente isolado). 'S' se rodou de primeira ou com erro trivial de digitacao; 'N' se precisou de correcao estrutural.</t>
  </si>
  <si>
    <t xml:space="preserve">Nº de correcoes manuais</t>
  </si>
  <si>
    <t xml:space="preserve">Quantas mudancas voce precisou fazer no codigo ate ele funcionar. 0 = rodou de primeira.</t>
  </si>
  <si>
    <t xml:space="preserve">Completude (0-5)</t>
  </si>
  <si>
    <t xml:space="preserve">0 = nao atende nada do prompt; 5 = atende 100% dos requisitos pedidos no nivel.</t>
  </si>
  <si>
    <t xml:space="preserve">Qualidade estatica (warnings)</t>
  </si>
  <si>
    <t xml:space="preserve">Rode um linter (ex: eslint) no codigo gerado e anote o numero de warnings/erros.</t>
  </si>
  <si>
    <t xml:space="preserve">Boas praticas (1-5)</t>
  </si>
  <si>
    <t xml:space="preserve">Avaliacao qualitativa: separacao de responsabilidades, tratamento de erros, nomes claros, comentarios uteis.</t>
  </si>
  <si>
    <t xml:space="preserve">Seguranca (1-5)</t>
  </si>
  <si>
    <t xml:space="preserve">Preencha SO a partir do nivel 4 (autenticacao). Considere: hash de senha, protecao contra SQL injection, validacao de entrada, exposicao de dados sensiveis em respostas de erro.</t>
  </si>
  <si>
    <t xml:space="preserve">Observacoes</t>
  </si>
  <si>
    <t xml:space="preserve">Qualquer coisa notavel: o modelo pulou um requisito, adicionou algo nao pedido, decisao de design questionavel, etc.</t>
  </si>
  <si>
    <t xml:space="preserve">Legenda de cores</t>
  </si>
  <si>
    <t xml:space="preserve">Preencher (amarelo)</t>
  </si>
  <si>
    <t xml:space="preserve">Ja preenchido / calculado (cinza claro)</t>
  </si>
  <si>
    <t xml:space="preserve">Linha de exemplo (verde)</t>
  </si>
  <si>
    <t xml:space="preserve">Preenchido com dados reais (testado)</t>
  </si>
  <si>
    <t xml:space="preserve">Truncado / bloqueado - precisa rerodar ou testar localmente</t>
  </si>
  <si>
    <t xml:space="preserve">Status final: 30/30 combinacoes testadas e preenchidas com dados reais.</t>
  </si>
  <si>
    <t xml:space="preserve">Avaliacao — 30 combinacoes (5 niveis x 3 provedores x 2 tentativas)</t>
  </si>
  <si>
    <t xml:space="preserve">Nivel</t>
  </si>
  <si>
    <t xml:space="preserve">Nome do nivel</t>
  </si>
  <si>
    <t xml:space="preserve">Provedor</t>
  </si>
  <si>
    <t xml:space="preserve">Modelo exato</t>
  </si>
  <si>
    <t xml:space="preserve">Tentativa</t>
  </si>
  <si>
    <t xml:space="preserve">Tamanho (chars)</t>
  </si>
  <si>
    <t xml:space="preserve">Nº correcoes manuais</t>
  </si>
  <si>
    <t xml:space="preserve">Arquivo</t>
  </si>
  <si>
    <t xml:space="preserve">Persistencia simples</t>
  </si>
  <si>
    <t xml:space="preserve">claude</t>
  </si>
  <si>
    <t xml:space="preserve">claude-sonnet-5</t>
  </si>
  <si>
    <t xml:space="preserve">S</t>
  </si>
  <si>
    <t xml:space="preserve">Rodou de primeira (CLI e interativo). Escaping CSV RFC4180 correto; append seguro.</t>
  </si>
  <si>
    <t xml:space="preserve">outputs/nivel-0-persistencia-simples/claude/tentativa-1.md</t>
  </si>
  <si>
    <t xml:space="preserve">Mesma robustez da tentativa 1; pequenas variações de nomenclatura interna.</t>
  </si>
  <si>
    <t xml:space="preserve">outputs/nivel-0-persistencia-simples/claude/tentativa-2.md</t>
  </si>
  <si>
    <t xml:space="preserve">gpt</t>
  </si>
  <si>
    <t xml:space="preserve">gpt-5.6</t>
  </si>
  <si>
    <t xml:space="preserve">Usa fs/promises + readline/promises; detecta arquivo vazio antes de escrever cabecalho.</t>
  </si>
  <si>
    <t xml:space="preserve">outputs/nivel-0-persistencia-simples/gpt/tentativa-1.md</t>
  </si>
  <si>
    <t xml:space="preserve">Mais defensivo: detecta ausencia de TTY (evita travar esperando input) e checa byte final do arquivo.</t>
  </si>
  <si>
    <t xml:space="preserve">outputs/nivel-0-persistencia-simples/gpt/tentativa-2.md</t>
  </si>
  <si>
    <t xml:space="preserve">gemini</t>
  </si>
  <si>
    <t xml:space="preserve">gemini-pro-latest</t>
  </si>
  <si>
    <t xml:space="preserve">So aceita nome via argv, sem fallback interativo (exit(1) se omitido).</t>
  </si>
  <si>
    <t xml:space="preserve">outputs/nivel-0-persistencia-simples/gemini/tentativa-1.md</t>
  </si>
  <si>
    <t xml:space="preserve">IGNORA argv por completo - so funciona em modo interativo. Inconsistente com a propria tentativa 1.</t>
  </si>
  <si>
    <t xml:space="preserve">outputs/nivel-0-persistencia-simples/gemini/tentativa-2.md</t>
  </si>
  <si>
    <t xml:space="preserve">CRUD com persistencia em banco</t>
  </si>
  <si>
    <t xml:space="preserve">RERODADO com harness corrigido - nao truncou mais (end_turn, 7421 tokens). CRUD 100% funcional: add/list/update/remove, duplicidade rejeitada corretamente. Arquitetura em camadas (db/validators/userService/cli).</t>
  </si>
  <si>
    <t xml:space="preserve">outputs/nivel-1-crud-com-persistencia-em-banco/claude/tentativa-1.md</t>
  </si>
  <si>
    <t xml:space="preserve">RERODADO com harness corrigido - nao truncou mais (end_turn, 8660 tokens). CRUD 100% funcional. Bonus: oferece menu interativo alem de argv (unico entre os projetos testados a suportar os dois modos de verdade).</t>
  </si>
  <si>
    <t xml:space="preserve">outputs/nivel-1-crud-com-persistencia-em-banco/claude/tentativa-2.md</t>
  </si>
  <si>
    <t xml:space="preserve">100% de primeira: cadastro, rejeicao de duplicidade com mensagem amigavel, listagem em tabela, atualizacao e remocao - todos testados com sucesso.</t>
  </si>
  <si>
    <t xml:space="preserve">outputs/nivel-1-crud-com-persistencia-em-banco/gpt/tentativa-1.md</t>
  </si>
  <si>
    <t xml:space="preserve">100% de primeira, incluindo duplicidade case-insensitive (JOAO@ vs joao@) via COLLATE NOCASE.</t>
  </si>
  <si>
    <t xml:space="preserve">outputs/nivel-1-crud-com-persistencia-em-banco/gpt/tentativa-2.md</t>
  </si>
  <si>
    <t xml:space="preserve">TESTADO PELO USUARIO na propria maquina (better-sqlite3^9.4.3 nao instala no sandbox de teste, mas instala normalmente localmente apos ajuste de versao para ^12.2.0). Menu interativo completo: cadastro, listagem em tabela, duplicidade de email corretamente rejeitada.</t>
  </si>
  <si>
    <t xml:space="preserve">outputs/nivel-1-crud-com-persistencia-em-banco/gemini/tentativa-1.md</t>
  </si>
  <si>
    <t xml:space="preserve">TESTADO PELO USUARIO na propria maquina (mesma ressalva de instalacao da t1). CLI via argv (add/list), duplicidade de email corretamente rejeitada.</t>
  </si>
  <si>
    <t xml:space="preserve">outputs/nivel-1-crud-com-persistencia-em-banco/gemini/tentativa-2.md</t>
  </si>
  <si>
    <t xml:space="preserve">API REST</t>
  </si>
  <si>
    <t xml:space="preserve">RERODADO com harness corrigido - nao truncou mais (end_turn, 7140 tokens). CRUD 100% funcional: 201/409/200/200/204 corretos. Bonus: entregou paginacao (page/limit) nao pedida no prompt.</t>
  </si>
  <si>
    <t xml:space="preserve">outputs/nivel-2-api-rest/claude/tentativa-1.md</t>
  </si>
  <si>
    <t xml:space="preserve">RERODADO com harness corrigido - nao truncou mais (end_turn, 6011 tokens). CRUD 100% funcional: 201/409/200/200/204 corretos. Estrutura em camadas (routes/repository/validation) mais organizada que a t1.</t>
  </si>
  <si>
    <t xml:space="preserve">outputs/nivel-2-api-rest/claude/tentativa-2.md</t>
  </si>
  <si>
    <t xml:space="preserve">201/409/200 corretos. Bug cosmetico: log de inicio mostra 'localhost:3000' fixo mesmo rodando em outra porta (o bind real respeita PORT).</t>
  </si>
  <si>
    <t xml:space="preserve">outputs/nivel-2-api-rest/gpt/tentativa-1.md</t>
  </si>
  <si>
    <t xml:space="preserve">Implementacao mais rigorosa do grupo: respeita PORT corretamente (inclusive no log), retorna 409 Conflict correto, erros estruturados com status+mensagem, sem framework (http nativo).</t>
  </si>
  <si>
    <t xml:space="preserve">outputs/nivel-2-api-rest/gpt/tentativa-2.md</t>
  </si>
  <si>
    <t xml:space="preserve">POST/GET testados com sucesso. Porta hardcoded em 3000 (ignora env PORT). Retorna 400 (nao 409) para e-mail duplicado.</t>
  </si>
  <si>
    <t xml:space="preserve">outputs/nivel-2-api-rest/gemini/tentativa-1.md</t>
  </si>
  <si>
    <t xml:space="preserve">NAO entregou package.json pronto (so instruiu 'npm init -y &amp;&amp; npm install' manualmente) - falha de completude frente ao prompt. Mesma porta hardcoded e status 400 em duplicidade.</t>
  </si>
  <si>
    <t xml:space="preserve">outputs/nivel-2-api-rest/gemini/tentativa-2.md</t>
  </si>
  <si>
    <t xml:space="preserve">Sistema web full-stack</t>
  </si>
  <si>
    <t xml:space="preserve">CRUD completo funcional (201/409/200/200/204). Adicionou campo 'telefone' (opcional) por conta propria - nivel nao especificava campos, entao foi decisao razoavel documentada. Rota/campos em portugues.</t>
  </si>
  <si>
    <t xml:space="preserve">outputs/nivel-3-sistema-web-full-stack/claude/tentativa-1.md</t>
  </si>
  <si>
    <t xml:space="preserve">CRUD completo funcional (201/409/200/200/204), so name+email (sem telefone). Rota/campos em ingles - mesma inconsistencia de idioma entre tentativas que apareceu nos outros 2 provedores.</t>
  </si>
  <si>
    <t xml:space="preserve">outputs/nivel-3-sistema-web-full-stack/claude/tentativa-2.md</t>
  </si>
  <si>
    <t xml:space="preserve">CRUD completo funcional (201/409/200/200/204). Respeita PORT via env corretamente. Rota em portugues (/api/usuarios), timestamps criadoEm/atualizadoEm.</t>
  </si>
  <si>
    <t xml:space="preserve">outputs/nivel-3-sistema-web-full-stack/gpt/tentativa-1.md</t>
  </si>
  <si>
    <t xml:space="preserve">CRUD completo funcional (201/409/200/200/204), com bonus: endpoint /api/health nao pedido no prompt. Mensagens de erro estruturadas por campo (fields.email). Rota em ingles (/api/users).</t>
  </si>
  <si>
    <t xml:space="preserve">outputs/nivel-3-sistema-web-full-stack/gpt/tentativa-2.md</t>
  </si>
  <si>
    <t xml:space="preserve">CRUD completo funcional (201/400/200/200/200), frontend estatico servido corretamente. Vaza erro bruto do SQLite pro cliente em caso de duplicidade ('SQLITE_CONSTRAINT: UNIQUE...') em vez de mensagem amigavel - detalhe de implementacao exposto.</t>
  </si>
  <si>
    <t xml:space="preserve">outputs/nivel-3-sistema-web-full-stack/gemini/tentativa-1.md</t>
  </si>
  <si>
    <t xml:space="preserve">CRUD completo funcional, identico em estrutura a t1. Diferenca: mensagem de erro amigavel na duplicidade ('Email pode ja existir') em vez de vazar o erro do SQLite - mais cuidadoso que a t1 nesse ponto especifico.</t>
  </si>
  <si>
    <t xml:space="preserve">outputs/nivel-3-sistema-web-full-stack/gemini/tentativa-2.md</t>
  </si>
  <si>
    <t xml:space="preserve">Seguranca (autenticacao e autorizacao)</t>
  </si>
  <si>
    <t xml:space="preserve">SEGURANCA - testado de ponta a ponta. Interpretacao de dados DIFERENTE dos outros dois modelos: separa 'users' (login) de 'records' (o que e de fato cadastrado, com titulo+descricao e dono/owner via JOIN) - leitura valida do prompt, ja que o nivel nao especificava os campos. Hash com scrypt nativo do Node + timingSafeEqual (mesmo nivel do GPT). JWT_SECRET vem de env var com fallback CLARAMENTE rotulado 'dev-secret-nao-use-em-producao' (bem melhor que o secret hardcoded do Gemini, que nao alertava nada). Cookie: httpOnly + sameSite=lax (comentado explicitamente como mitigacao de CSRF) + secure condicional a NODE_ENV=production. Sem admin padrao: usa endpoint publico /register para autocadastro, sem senha fraca pre-definida. NAO tem token CSRF dedicado (diferente do GPT) - depende so do sameSite=lax, que e uma protecao real mas mais fraca que double-submit token.</t>
  </si>
  <si>
    <t xml:space="preserve">outputs/nivel-4-seguranca-autenticacao-e-autorizacao/claude/tentativa-1.md</t>
  </si>
  <si>
    <t xml:space="preserve">SEGURANCA - mesmo padrao de qualidade da t1 (sameSite=lax comentado, secret com fallback rotulado como dev, endpoint /register publico, sem admin padrao fraco). Diferenca: usa bcryptjs (hash $2a$10$..., salgado corretamente) em vez de scrypt nativo - escolha tambem valida, mas sem a mitigacao extra de timing attack via timingSafeEqual que o bcrypt ja resolve internamente por design. Testado ponta a ponta: listagem publica, bloqueio sem sessao (401), registro+login+criacao autenticada funcionando.</t>
  </si>
  <si>
    <t xml:space="preserve">outputs/nivel-4-seguranca-autenticacao-e-autorizacao/claude/tentativa-2.md</t>
  </si>
  <si>
    <t xml:space="preserve">SEGURANCA - a implementacao mais rigorosa dos 3 modelos, testada de ponta a ponta. Hash com scrypt (parametros explicitos N=16384/r=8/p=1) + comparacao em tempo constante (timingSafeEqual) - protege contra timing attack, algo que nem o Gemini fez. Sessao armazenada no servidor (token aleatorio, nao JWT) - revogavel, sem secret no codigo. Cookie com sameSite=lax + secure condicional + httpOnly. CSRF REAL: token dedicado por sessao, exigido via header x-csrf-token, comparado em tempo constante - testei o ataque simulado (cookie presente, sem header) e foi bloqueado (403); fluxo legitimo com token correto funcionou (201). NAO cria admin padrao com senha fraca - exige script separado (create-admin) com senha via variavel de ambiente, evitando expor a senha no historico do shell.</t>
  </si>
  <si>
    <t xml:space="preserve">outputs/nivel-4-seguranca-autenticacao-e-autorizacao/gpt/tentativa-1.md</t>
  </si>
  <si>
    <t xml:space="preserve">SEGURANCA - mesma robustez da t1, com um detalhe a mais: sameSite='strict' (mais restritivo que 'lax' da t1), e executa o scrypt mesmo quando o usuario nao existe no login, de proposito, para que tentativas com usuario invalido e senha errada demorem o mesmo tempo - mitigacao de timing attack no proprio endpoint de login, raro de ver implementado. CSRF testado e confirmado: ataque sem token bloqueado (403), fluxo legitimo passou pelas camadas de auth+CSRF corretamente.</t>
  </si>
  <si>
    <t xml:space="preserve">outputs/nivel-4-seguranca-autenticacao-e-autorizacao/gpt/tentativa-2.md</t>
  </si>
  <si>
    <t xml:space="preserve">SEGURANCA - testado de ponta a ponta: listagem publica (200) e /add e /delete corretamente bloqueados sem sessao (302), liberados com sessao valida. Senha com hash bcrypt real e salgado ($2b$10$..., unico por usuario) - nao ha senha em texto puro no banco. PORTAS: ignora env PORT (hardcoded 3000, mesmo padrao dos outros niveis do Gemini). FALHAS DE SEGURANCA REAIS: (1) JWT_SECRET hardcoded no codigo-fonte; (2) usuario admin padrao com senha fraca 'admin123' criado automaticamente e logado no console; (3) cookie de sessao SEM SameSite nem Secure explicitos - a app comenta que usa POST em vez de GET para 'evitar CSRF simples', o que e um equivoco: POST sozinho nao previne CSRF; sem SameSite explicito a protecao depende so do default do navegador, nao de decisao de design.</t>
  </si>
  <si>
    <t xml:space="preserve">outputs/nivel-4-seguranca-autenticacao-e-autorizacao/gemini/tentativa-1.md</t>
  </si>
  <si>
    <t xml:space="preserve">SEGURANCA - testado de ponta a ponta. Mesmo JWT_SECRET hardcoded da t1 ('super_secret_key_123', literalmente identico - sugere que e um valor 'padrao' do modelo, nao aleatorio) e mesmo admin auto-criado com senha fraca (admin/admin123). DIFERENCA ARQUITETURAL relevante: em vez de cookie httpOnly (usado na t1), esta tentativa guarda o JWT em localStorage no frontend e manda via header 'Authorization: Bearer'. Troca um risco por outro: elimina a exposicao a CSRF que a t1 tinha (Bearer nao e enviado automaticamente cross-site como cookie), mas introduce exposicao a roubo de token via XSS, ja que localStorage e acessivel por qualquer JS da pagina (diferente de cookie httpOnly, que o JS nao consegue ler). Testado: listagem publica (200), criacao sem token bloqueada (401), hash bcrypt salgado confirmado no banco.</t>
  </si>
  <si>
    <t xml:space="preserve">outputs/nivel-4-seguranca-autenticacao-e-autorizacao/gemini/tentativa-2.md</t>
  </si>
  <si>
    <t xml:space="preserve">Resumo agregado por provedor</t>
  </si>
  <si>
    <t xml:space="preserve">Calculado automaticamente a partir da aba 'Avaliacao' - preencha aquela aba primeiro.</t>
  </si>
  <si>
    <t xml:space="preserve">Taxa de sucesso (%)</t>
  </si>
  <si>
    <t xml:space="preserve">Media correcoes manuais</t>
  </si>
  <si>
    <t xml:space="preserve">Completude media</t>
  </si>
  <si>
    <t xml:space="preserve">Qualidade estatica media (warnings)</t>
  </si>
  <si>
    <t xml:space="preserve">Boas praticas media</t>
  </si>
  <si>
    <t xml:space="preserve">Seguranca media (nivel 4)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</si>
</sst>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0"/>
  </cols>
  <sheetData>
    <row r="1" customFormat="false" ht="17.25" hidden="false" customHeight="true" outlineLevel="0" collapsed="false">
      <c r="A1" s="2" t="s">
        <v>0</v>
      </c>
      <c r="B1" s="2"/>
    </row>
    <row r="2" customFormat="false" ht="15" hidden="false" customHeight="true" outlineLevel="0" collapsed="false">
      <c r="A2" s="3" t="s">
        <v>1</v>
      </c>
      <c r="B2" s="3"/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33.75" hidden="false" customHeight="true" outlineLevel="0" collapsed="false">
      <c r="A5" s="5" t="s">
        <v>4</v>
      </c>
      <c r="B5" s="5" t="s">
        <v>5</v>
      </c>
    </row>
    <row r="6" customFormat="false" ht="33.75" hidden="false" customHeight="true" outlineLevel="0" collapsed="false">
      <c r="A6" s="5" t="s">
        <v>6</v>
      </c>
      <c r="B6" s="5" t="s">
        <v>7</v>
      </c>
    </row>
    <row r="7" customFormat="false" ht="33.75" hidden="false" customHeight="true" outlineLevel="0" collapsed="false">
      <c r="A7" s="5" t="s">
        <v>8</v>
      </c>
      <c r="B7" s="5" t="s">
        <v>9</v>
      </c>
    </row>
    <row r="8" customFormat="false" ht="33.75" hidden="false" customHeight="true" outlineLevel="0" collapsed="false">
      <c r="A8" s="5" t="s">
        <v>10</v>
      </c>
      <c r="B8" s="5" t="s">
        <v>11</v>
      </c>
    </row>
    <row r="9" customFormat="false" ht="33.75" hidden="false" customHeight="true" outlineLevel="0" collapsed="false">
      <c r="A9" s="5" t="s">
        <v>12</v>
      </c>
      <c r="B9" s="5" t="s">
        <v>13</v>
      </c>
    </row>
    <row r="10" customFormat="false" ht="33.75" hidden="false" customHeight="true" outlineLevel="0" collapsed="false">
      <c r="A10" s="5" t="s">
        <v>14</v>
      </c>
      <c r="B10" s="5" t="s">
        <v>15</v>
      </c>
    </row>
    <row r="11" customFormat="false" ht="33.75" hidden="false" customHeight="true" outlineLevel="0" collapsed="false">
      <c r="A11" s="5" t="s">
        <v>16</v>
      </c>
      <c r="B11" s="5" t="s">
        <v>17</v>
      </c>
    </row>
    <row r="13" customFormat="false" ht="15" hidden="false" customHeight="true" outlineLevel="0" collapsed="false">
      <c r="A13" s="6" t="s">
        <v>18</v>
      </c>
    </row>
    <row r="14" customFormat="false" ht="15" hidden="false" customHeight="true" outlineLevel="0" collapsed="false">
      <c r="A14" s="7" t="s">
        <v>19</v>
      </c>
    </row>
    <row r="15" customFormat="false" ht="15" hidden="false" customHeight="true" outlineLevel="0" collapsed="false">
      <c r="A15" s="8" t="s">
        <v>20</v>
      </c>
    </row>
    <row r="16" customFormat="false" ht="15" hidden="false" customHeight="true" outlineLevel="0" collapsed="false">
      <c r="A16" s="9" t="s">
        <v>21</v>
      </c>
    </row>
    <row r="18" customFormat="false" ht="15" hidden="false" customHeight="true" outlineLevel="0" collapsed="false">
      <c r="A18" s="10" t="s">
        <v>22</v>
      </c>
    </row>
    <row r="19" customFormat="false" ht="15" hidden="false" customHeight="true" outlineLevel="0" collapsed="false">
      <c r="A19" s="11" t="s">
        <v>23</v>
      </c>
    </row>
    <row r="21" customFormat="false" ht="15" hidden="false" customHeight="true" outlineLevel="0" collapsed="false">
      <c r="A21" s="12"/>
    </row>
    <row r="22" customFormat="false" ht="15" hidden="false" customHeight="true" outlineLevel="0" collapsed="false">
      <c r="A22" s="13" t="s">
        <v>24</v>
      </c>
    </row>
    <row r="23" customFormat="false" ht="15" hidden="false" customHeight="true" outlineLevel="0" collapsed="false"/>
    <row r="24" customFormat="false" ht="15" hidden="false" customHeight="true" outlineLevel="0" collapsed="false"/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8" min="7" style="1" width="15"/>
    <col collapsed="false" customWidth="true" hidden="false" outlineLevel="0" max="9" min="9" style="1" width="13"/>
    <col collapsed="false" customWidth="true" hidden="false" outlineLevel="0" max="10" min="10" style="1" width="18"/>
    <col collapsed="false" customWidth="true" hidden="false" outlineLevel="0" max="11" min="11" style="1" width="14"/>
    <col collapsed="false" customWidth="true" hidden="false" outlineLevel="0" max="12" min="12" style="1" width="12"/>
    <col collapsed="false" customWidth="true" hidden="false" outlineLevel="0" max="13" min="13" style="1" width="34"/>
    <col collapsed="false" customWidth="true" hidden="false" outlineLevel="0" max="14" min="14" style="1" width="46"/>
  </cols>
  <sheetData>
    <row r="1" customFormat="false" ht="17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3.25" hidden="false" customHeight="true" outlineLevel="0" collapsed="false">
      <c r="A2" s="14" t="s">
        <v>26</v>
      </c>
      <c r="B2" s="14" t="s">
        <v>27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4</v>
      </c>
      <c r="H2" s="14" t="s">
        <v>32</v>
      </c>
      <c r="I2" s="14" t="s">
        <v>8</v>
      </c>
      <c r="J2" s="14" t="s">
        <v>10</v>
      </c>
      <c r="K2" s="14" t="s">
        <v>12</v>
      </c>
      <c r="L2" s="14" t="s">
        <v>14</v>
      </c>
      <c r="M2" s="14" t="s">
        <v>16</v>
      </c>
      <c r="N2" s="14" t="s">
        <v>33</v>
      </c>
    </row>
    <row r="3" customFormat="false" ht="15" hidden="false" customHeight="true" outlineLevel="0" collapsed="false">
      <c r="A3" s="15" t="n">
        <v>0</v>
      </c>
      <c r="B3" s="16" t="s">
        <v>34</v>
      </c>
      <c r="C3" s="16" t="s">
        <v>35</v>
      </c>
      <c r="D3" s="16" t="s">
        <v>36</v>
      </c>
      <c r="E3" s="15" t="n">
        <v>1</v>
      </c>
      <c r="F3" s="17" t="n">
        <v>6949</v>
      </c>
      <c r="G3" s="18" t="s">
        <v>37</v>
      </c>
      <c r="H3" s="18" t="n">
        <v>0</v>
      </c>
      <c r="I3" s="18" t="n">
        <v>5</v>
      </c>
      <c r="J3" s="18" t="n">
        <v>0</v>
      </c>
      <c r="K3" s="18" t="n">
        <v>5</v>
      </c>
      <c r="L3" s="19"/>
      <c r="M3" s="20" t="s">
        <v>38</v>
      </c>
      <c r="N3" s="16" t="s">
        <v>39</v>
      </c>
    </row>
    <row r="4" customFormat="false" ht="15" hidden="false" customHeight="true" outlineLevel="0" collapsed="false">
      <c r="A4" s="15" t="n">
        <v>0</v>
      </c>
      <c r="B4" s="16" t="s">
        <v>34</v>
      </c>
      <c r="C4" s="16" t="s">
        <v>35</v>
      </c>
      <c r="D4" s="16" t="s">
        <v>36</v>
      </c>
      <c r="E4" s="15" t="n">
        <v>2</v>
      </c>
      <c r="F4" s="17" t="n">
        <v>7308</v>
      </c>
      <c r="G4" s="18" t="s">
        <v>37</v>
      </c>
      <c r="H4" s="18" t="n">
        <v>0</v>
      </c>
      <c r="I4" s="18" t="n">
        <v>5</v>
      </c>
      <c r="J4" s="18" t="n">
        <v>0</v>
      </c>
      <c r="K4" s="18" t="n">
        <v>5</v>
      </c>
      <c r="L4" s="19"/>
      <c r="M4" s="20" t="s">
        <v>40</v>
      </c>
      <c r="N4" s="16" t="s">
        <v>41</v>
      </c>
    </row>
    <row r="5" customFormat="false" ht="15" hidden="false" customHeight="true" outlineLevel="0" collapsed="false">
      <c r="A5" s="15" t="n">
        <v>0</v>
      </c>
      <c r="B5" s="16" t="s">
        <v>34</v>
      </c>
      <c r="C5" s="16" t="s">
        <v>42</v>
      </c>
      <c r="D5" s="16" t="s">
        <v>43</v>
      </c>
      <c r="E5" s="15" t="n">
        <v>1</v>
      </c>
      <c r="F5" s="17" t="n">
        <v>3794</v>
      </c>
      <c r="G5" s="18" t="s">
        <v>37</v>
      </c>
      <c r="H5" s="18" t="n">
        <v>0</v>
      </c>
      <c r="I5" s="18" t="n">
        <v>5</v>
      </c>
      <c r="J5" s="18" t="n">
        <v>0</v>
      </c>
      <c r="K5" s="18" t="n">
        <v>5</v>
      </c>
      <c r="L5" s="19"/>
      <c r="M5" s="20" t="s">
        <v>44</v>
      </c>
      <c r="N5" s="16" t="s">
        <v>45</v>
      </c>
    </row>
    <row r="6" customFormat="false" ht="15" hidden="false" customHeight="true" outlineLevel="0" collapsed="false">
      <c r="A6" s="15" t="n">
        <v>0</v>
      </c>
      <c r="B6" s="16" t="s">
        <v>34</v>
      </c>
      <c r="C6" s="16" t="s">
        <v>42</v>
      </c>
      <c r="D6" s="16" t="s">
        <v>43</v>
      </c>
      <c r="E6" s="15" t="n">
        <v>2</v>
      </c>
      <c r="F6" s="17" t="n">
        <v>5011</v>
      </c>
      <c r="G6" s="18" t="s">
        <v>37</v>
      </c>
      <c r="H6" s="18" t="n">
        <v>0</v>
      </c>
      <c r="I6" s="18" t="n">
        <v>5</v>
      </c>
      <c r="J6" s="18" t="n">
        <v>0</v>
      </c>
      <c r="K6" s="18" t="n">
        <v>5</v>
      </c>
      <c r="L6" s="19"/>
      <c r="M6" s="20" t="s">
        <v>46</v>
      </c>
      <c r="N6" s="16" t="s">
        <v>47</v>
      </c>
    </row>
    <row r="7" customFormat="false" ht="15" hidden="false" customHeight="true" outlineLevel="0" collapsed="false">
      <c r="A7" s="15" t="n">
        <v>0</v>
      </c>
      <c r="B7" s="16" t="s">
        <v>34</v>
      </c>
      <c r="C7" s="16" t="s">
        <v>48</v>
      </c>
      <c r="D7" s="16" t="s">
        <v>49</v>
      </c>
      <c r="E7" s="15" t="n">
        <v>1</v>
      </c>
      <c r="F7" s="17" t="n">
        <v>3887</v>
      </c>
      <c r="G7" s="18" t="s">
        <v>37</v>
      </c>
      <c r="H7" s="18" t="n">
        <v>0</v>
      </c>
      <c r="I7" s="18" t="n">
        <v>4</v>
      </c>
      <c r="J7" s="18" t="n">
        <v>0</v>
      </c>
      <c r="K7" s="18" t="n">
        <v>4</v>
      </c>
      <c r="L7" s="19"/>
      <c r="M7" s="20" t="s">
        <v>50</v>
      </c>
      <c r="N7" s="16" t="s">
        <v>51</v>
      </c>
    </row>
    <row r="8" customFormat="false" ht="15" hidden="false" customHeight="true" outlineLevel="0" collapsed="false">
      <c r="A8" s="15" t="n">
        <v>0</v>
      </c>
      <c r="B8" s="16" t="s">
        <v>34</v>
      </c>
      <c r="C8" s="16" t="s">
        <v>48</v>
      </c>
      <c r="D8" s="16" t="s">
        <v>49</v>
      </c>
      <c r="E8" s="15" t="n">
        <v>2</v>
      </c>
      <c r="F8" s="17" t="n">
        <v>4038</v>
      </c>
      <c r="G8" s="18" t="s">
        <v>37</v>
      </c>
      <c r="H8" s="18" t="n">
        <v>0</v>
      </c>
      <c r="I8" s="18" t="n">
        <v>3</v>
      </c>
      <c r="J8" s="18" t="n">
        <v>0</v>
      </c>
      <c r="K8" s="18" t="n">
        <v>3</v>
      </c>
      <c r="L8" s="19"/>
      <c r="M8" s="20" t="s">
        <v>52</v>
      </c>
      <c r="N8" s="16" t="s">
        <v>53</v>
      </c>
    </row>
    <row r="9" customFormat="false" ht="15" hidden="false" customHeight="true" outlineLevel="0" collapsed="false">
      <c r="A9" s="15" t="n">
        <v>1</v>
      </c>
      <c r="B9" s="16" t="s">
        <v>54</v>
      </c>
      <c r="C9" s="16" t="s">
        <v>35</v>
      </c>
      <c r="D9" s="16" t="s">
        <v>36</v>
      </c>
      <c r="E9" s="15" t="n">
        <v>1</v>
      </c>
      <c r="F9" s="17" t="n">
        <v>2976</v>
      </c>
      <c r="G9" s="18" t="s">
        <v>37</v>
      </c>
      <c r="H9" s="18" t="n">
        <v>0</v>
      </c>
      <c r="I9" s="18" t="n">
        <v>5</v>
      </c>
      <c r="J9" s="18" t="n">
        <v>0</v>
      </c>
      <c r="K9" s="18" t="n">
        <v>5</v>
      </c>
      <c r="L9" s="19"/>
      <c r="M9" s="20" t="s">
        <v>55</v>
      </c>
      <c r="N9" s="16" t="s">
        <v>56</v>
      </c>
    </row>
    <row r="10" customFormat="false" ht="15" hidden="false" customHeight="true" outlineLevel="0" collapsed="false">
      <c r="A10" s="15" t="n">
        <v>1</v>
      </c>
      <c r="B10" s="16" t="s">
        <v>54</v>
      </c>
      <c r="C10" s="16" t="s">
        <v>35</v>
      </c>
      <c r="D10" s="16" t="s">
        <v>36</v>
      </c>
      <c r="E10" s="15" t="n">
        <v>2</v>
      </c>
      <c r="F10" s="17" t="n">
        <v>2298</v>
      </c>
      <c r="G10" s="18" t="s">
        <v>37</v>
      </c>
      <c r="H10" s="18" t="n">
        <v>0</v>
      </c>
      <c r="I10" s="18" t="n">
        <v>5</v>
      </c>
      <c r="J10" s="18" t="n">
        <v>0</v>
      </c>
      <c r="K10" s="18" t="n">
        <v>5</v>
      </c>
      <c r="L10" s="19"/>
      <c r="M10" s="20" t="s">
        <v>57</v>
      </c>
      <c r="N10" s="16" t="s">
        <v>58</v>
      </c>
    </row>
    <row r="11" customFormat="false" ht="15" hidden="false" customHeight="true" outlineLevel="0" collapsed="false">
      <c r="A11" s="15" t="n">
        <v>1</v>
      </c>
      <c r="B11" s="16" t="s">
        <v>54</v>
      </c>
      <c r="C11" s="16" t="s">
        <v>42</v>
      </c>
      <c r="D11" s="16" t="s">
        <v>43</v>
      </c>
      <c r="E11" s="15" t="n">
        <v>1</v>
      </c>
      <c r="F11" s="17" t="n">
        <v>20478</v>
      </c>
      <c r="G11" s="18" t="s">
        <v>37</v>
      </c>
      <c r="H11" s="18" t="n">
        <v>0</v>
      </c>
      <c r="I11" s="18" t="n">
        <v>5</v>
      </c>
      <c r="J11" s="18" t="n">
        <v>0</v>
      </c>
      <c r="K11" s="18" t="n">
        <v>5</v>
      </c>
      <c r="L11" s="19"/>
      <c r="M11" s="20" t="s">
        <v>59</v>
      </c>
      <c r="N11" s="16" t="s">
        <v>60</v>
      </c>
    </row>
    <row r="12" customFormat="false" ht="15" hidden="false" customHeight="true" outlineLevel="0" collapsed="false">
      <c r="A12" s="15" t="n">
        <v>1</v>
      </c>
      <c r="B12" s="16" t="s">
        <v>54</v>
      </c>
      <c r="C12" s="16" t="s">
        <v>42</v>
      </c>
      <c r="D12" s="16" t="s">
        <v>43</v>
      </c>
      <c r="E12" s="15" t="n">
        <v>2</v>
      </c>
      <c r="F12" s="17" t="n">
        <v>19878</v>
      </c>
      <c r="G12" s="18" t="s">
        <v>37</v>
      </c>
      <c r="H12" s="18" t="n">
        <v>0</v>
      </c>
      <c r="I12" s="18" t="n">
        <v>5</v>
      </c>
      <c r="J12" s="18" t="n">
        <v>0</v>
      </c>
      <c r="K12" s="18" t="n">
        <v>5</v>
      </c>
      <c r="L12" s="19"/>
      <c r="M12" s="20" t="s">
        <v>61</v>
      </c>
      <c r="N12" s="16" t="s">
        <v>62</v>
      </c>
    </row>
    <row r="13" customFormat="false" ht="15" hidden="false" customHeight="true" outlineLevel="0" collapsed="false">
      <c r="A13" s="15" t="n">
        <v>1</v>
      </c>
      <c r="B13" s="16" t="s">
        <v>54</v>
      </c>
      <c r="C13" s="16" t="s">
        <v>48</v>
      </c>
      <c r="D13" s="16" t="s">
        <v>49</v>
      </c>
      <c r="E13" s="15" t="n">
        <v>1</v>
      </c>
      <c r="F13" s="17" t="n">
        <v>7882</v>
      </c>
      <c r="G13" s="18" t="s">
        <v>37</v>
      </c>
      <c r="H13" s="18" t="n">
        <v>0</v>
      </c>
      <c r="I13" s="18" t="n">
        <v>5</v>
      </c>
      <c r="J13" s="18" t="n">
        <v>0</v>
      </c>
      <c r="K13" s="18" t="n">
        <v>4</v>
      </c>
      <c r="L13" s="19"/>
      <c r="M13" s="20" t="s">
        <v>63</v>
      </c>
      <c r="N13" s="16" t="s">
        <v>64</v>
      </c>
    </row>
    <row r="14" customFormat="false" ht="15" hidden="false" customHeight="true" outlineLevel="0" collapsed="false">
      <c r="A14" s="15" t="n">
        <v>1</v>
      </c>
      <c r="B14" s="16" t="s">
        <v>54</v>
      </c>
      <c r="C14" s="16" t="s">
        <v>48</v>
      </c>
      <c r="D14" s="16" t="s">
        <v>49</v>
      </c>
      <c r="E14" s="15" t="n">
        <v>2</v>
      </c>
      <c r="F14" s="17" t="n">
        <v>6325</v>
      </c>
      <c r="G14" s="18" t="s">
        <v>37</v>
      </c>
      <c r="H14" s="18" t="n">
        <v>0</v>
      </c>
      <c r="I14" s="18" t="n">
        <v>5</v>
      </c>
      <c r="J14" s="18" t="n">
        <v>0</v>
      </c>
      <c r="K14" s="18" t="n">
        <v>4</v>
      </c>
      <c r="L14" s="19"/>
      <c r="M14" s="20" t="s">
        <v>65</v>
      </c>
      <c r="N14" s="16" t="s">
        <v>66</v>
      </c>
    </row>
    <row r="15" customFormat="false" ht="15" hidden="false" customHeight="true" outlineLevel="0" collapsed="false">
      <c r="A15" s="15" t="n">
        <v>2</v>
      </c>
      <c r="B15" s="16" t="s">
        <v>67</v>
      </c>
      <c r="C15" s="16" t="s">
        <v>35</v>
      </c>
      <c r="D15" s="16" t="s">
        <v>36</v>
      </c>
      <c r="E15" s="15" t="n">
        <v>1</v>
      </c>
      <c r="F15" s="17" t="n">
        <v>3560</v>
      </c>
      <c r="G15" s="18" t="s">
        <v>37</v>
      </c>
      <c r="H15" s="18" t="n">
        <v>0</v>
      </c>
      <c r="I15" s="18" t="n">
        <v>5</v>
      </c>
      <c r="J15" s="18" t="n">
        <v>1</v>
      </c>
      <c r="K15" s="18" t="n">
        <v>5</v>
      </c>
      <c r="L15" s="19"/>
      <c r="M15" s="20" t="s">
        <v>68</v>
      </c>
      <c r="N15" s="16" t="s">
        <v>69</v>
      </c>
    </row>
    <row r="16" customFormat="false" ht="15" hidden="false" customHeight="true" outlineLevel="0" collapsed="false">
      <c r="A16" s="15" t="n">
        <v>2</v>
      </c>
      <c r="B16" s="16" t="s">
        <v>67</v>
      </c>
      <c r="C16" s="16" t="s">
        <v>35</v>
      </c>
      <c r="D16" s="16" t="s">
        <v>36</v>
      </c>
      <c r="E16" s="15" t="n">
        <v>2</v>
      </c>
      <c r="F16" s="17" t="n">
        <v>7792</v>
      </c>
      <c r="G16" s="18" t="s">
        <v>37</v>
      </c>
      <c r="H16" s="18" t="n">
        <v>0</v>
      </c>
      <c r="I16" s="18" t="n">
        <v>5</v>
      </c>
      <c r="J16" s="18" t="n">
        <v>1</v>
      </c>
      <c r="K16" s="18" t="n">
        <v>5</v>
      </c>
      <c r="L16" s="19"/>
      <c r="M16" s="20" t="s">
        <v>70</v>
      </c>
      <c r="N16" s="16" t="s">
        <v>71</v>
      </c>
    </row>
    <row r="17" customFormat="false" ht="15" hidden="false" customHeight="true" outlineLevel="0" collapsed="false">
      <c r="A17" s="15" t="n">
        <v>2</v>
      </c>
      <c r="B17" s="16" t="s">
        <v>67</v>
      </c>
      <c r="C17" s="16" t="s">
        <v>42</v>
      </c>
      <c r="D17" s="16" t="s">
        <v>43</v>
      </c>
      <c r="E17" s="15" t="n">
        <v>1</v>
      </c>
      <c r="F17" s="17" t="n">
        <v>14985</v>
      </c>
      <c r="G17" s="18" t="s">
        <v>37</v>
      </c>
      <c r="H17" s="18" t="n">
        <v>0</v>
      </c>
      <c r="I17" s="18" t="n">
        <v>5</v>
      </c>
      <c r="J17" s="18" t="n">
        <v>0</v>
      </c>
      <c r="K17" s="18" t="n">
        <v>4</v>
      </c>
      <c r="L17" s="19"/>
      <c r="M17" s="20" t="s">
        <v>72</v>
      </c>
      <c r="N17" s="16" t="s">
        <v>73</v>
      </c>
    </row>
    <row r="18" customFormat="false" ht="15" hidden="false" customHeight="true" outlineLevel="0" collapsed="false">
      <c r="A18" s="15" t="n">
        <v>2</v>
      </c>
      <c r="B18" s="16" t="s">
        <v>67</v>
      </c>
      <c r="C18" s="16" t="s">
        <v>42</v>
      </c>
      <c r="D18" s="16" t="s">
        <v>43</v>
      </c>
      <c r="E18" s="15" t="n">
        <v>2</v>
      </c>
      <c r="F18" s="17" t="n">
        <v>17522</v>
      </c>
      <c r="G18" s="18" t="s">
        <v>37</v>
      </c>
      <c r="H18" s="18" t="n">
        <v>0</v>
      </c>
      <c r="I18" s="18" t="n">
        <v>5</v>
      </c>
      <c r="J18" s="18" t="n">
        <v>1</v>
      </c>
      <c r="K18" s="18" t="n">
        <v>5</v>
      </c>
      <c r="L18" s="19"/>
      <c r="M18" s="20" t="s">
        <v>74</v>
      </c>
      <c r="N18" s="16" t="s">
        <v>75</v>
      </c>
    </row>
    <row r="19" customFormat="false" ht="15" hidden="false" customHeight="true" outlineLevel="0" collapsed="false">
      <c r="A19" s="15" t="n">
        <v>2</v>
      </c>
      <c r="B19" s="16" t="s">
        <v>67</v>
      </c>
      <c r="C19" s="16" t="s">
        <v>48</v>
      </c>
      <c r="D19" s="16" t="s">
        <v>49</v>
      </c>
      <c r="E19" s="15" t="n">
        <v>1</v>
      </c>
      <c r="F19" s="17" t="n">
        <v>6098</v>
      </c>
      <c r="G19" s="18" t="s">
        <v>37</v>
      </c>
      <c r="H19" s="18" t="n">
        <v>0</v>
      </c>
      <c r="I19" s="18" t="n">
        <v>4</v>
      </c>
      <c r="J19" s="18" t="n">
        <v>0</v>
      </c>
      <c r="K19" s="18" t="n">
        <v>3</v>
      </c>
      <c r="L19" s="19"/>
      <c r="M19" s="20" t="s">
        <v>76</v>
      </c>
      <c r="N19" s="16" t="s">
        <v>77</v>
      </c>
    </row>
    <row r="20" customFormat="false" ht="15" hidden="false" customHeight="true" outlineLevel="0" collapsed="false">
      <c r="A20" s="15" t="n">
        <v>2</v>
      </c>
      <c r="B20" s="16" t="s">
        <v>67</v>
      </c>
      <c r="C20" s="16" t="s">
        <v>48</v>
      </c>
      <c r="D20" s="16" t="s">
        <v>49</v>
      </c>
      <c r="E20" s="15" t="n">
        <v>2</v>
      </c>
      <c r="F20" s="17" t="n">
        <v>7493</v>
      </c>
      <c r="G20" s="18" t="s">
        <v>37</v>
      </c>
      <c r="H20" s="18" t="n">
        <v>0</v>
      </c>
      <c r="I20" s="18" t="n">
        <v>3</v>
      </c>
      <c r="J20" s="18" t="n">
        <v>0</v>
      </c>
      <c r="K20" s="18" t="n">
        <v>3</v>
      </c>
      <c r="L20" s="19"/>
      <c r="M20" s="20" t="s">
        <v>78</v>
      </c>
      <c r="N20" s="16" t="s">
        <v>79</v>
      </c>
    </row>
    <row r="21" customFormat="false" ht="15" hidden="false" customHeight="true" outlineLevel="0" collapsed="false">
      <c r="A21" s="15" t="n">
        <v>3</v>
      </c>
      <c r="B21" s="16" t="s">
        <v>80</v>
      </c>
      <c r="C21" s="16" t="s">
        <v>35</v>
      </c>
      <c r="D21" s="16" t="s">
        <v>36</v>
      </c>
      <c r="E21" s="15" t="n">
        <v>1</v>
      </c>
      <c r="F21" s="17" t="n">
        <v>17526</v>
      </c>
      <c r="G21" s="18" t="s">
        <v>37</v>
      </c>
      <c r="H21" s="18" t="n">
        <v>0</v>
      </c>
      <c r="I21" s="18" t="n">
        <v>5</v>
      </c>
      <c r="J21" s="18" t="n">
        <v>0</v>
      </c>
      <c r="K21" s="18" t="n">
        <v>5</v>
      </c>
      <c r="L21" s="19"/>
      <c r="M21" s="20" t="s">
        <v>81</v>
      </c>
      <c r="N21" s="16" t="s">
        <v>82</v>
      </c>
    </row>
    <row r="22" customFormat="false" ht="15" hidden="false" customHeight="true" outlineLevel="0" collapsed="false">
      <c r="A22" s="15" t="n">
        <v>3</v>
      </c>
      <c r="B22" s="16" t="s">
        <v>80</v>
      </c>
      <c r="C22" s="16" t="s">
        <v>35</v>
      </c>
      <c r="D22" s="16" t="s">
        <v>36</v>
      </c>
      <c r="E22" s="15" t="n">
        <v>2</v>
      </c>
      <c r="F22" s="17" t="n">
        <v>17015</v>
      </c>
      <c r="G22" s="18" t="s">
        <v>37</v>
      </c>
      <c r="H22" s="18" t="n">
        <v>0</v>
      </c>
      <c r="I22" s="18" t="n">
        <v>5</v>
      </c>
      <c r="J22" s="18" t="n">
        <v>0</v>
      </c>
      <c r="K22" s="18" t="n">
        <v>5</v>
      </c>
      <c r="L22" s="19"/>
      <c r="M22" s="20" t="s">
        <v>83</v>
      </c>
      <c r="N22" s="16" t="s">
        <v>84</v>
      </c>
    </row>
    <row r="23" customFormat="false" ht="15" hidden="false" customHeight="true" outlineLevel="0" collapsed="false">
      <c r="A23" s="15" t="n">
        <v>3</v>
      </c>
      <c r="B23" s="16" t="s">
        <v>80</v>
      </c>
      <c r="C23" s="16" t="s">
        <v>42</v>
      </c>
      <c r="D23" s="16" t="s">
        <v>43</v>
      </c>
      <c r="E23" s="15" t="n">
        <v>1</v>
      </c>
      <c r="F23" s="17" t="n">
        <v>30422</v>
      </c>
      <c r="G23" s="18" t="s">
        <v>37</v>
      </c>
      <c r="H23" s="18" t="n">
        <v>0</v>
      </c>
      <c r="I23" s="18" t="n">
        <v>5</v>
      </c>
      <c r="J23" s="18" t="n">
        <v>0</v>
      </c>
      <c r="K23" s="18" t="n">
        <v>5</v>
      </c>
      <c r="L23" s="19"/>
      <c r="M23" s="20" t="s">
        <v>85</v>
      </c>
      <c r="N23" s="16" t="s">
        <v>86</v>
      </c>
    </row>
    <row r="24" customFormat="false" ht="15" hidden="false" customHeight="true" outlineLevel="0" collapsed="false">
      <c r="A24" s="15" t="n">
        <v>3</v>
      </c>
      <c r="B24" s="16" t="s">
        <v>80</v>
      </c>
      <c r="C24" s="16" t="s">
        <v>42</v>
      </c>
      <c r="D24" s="16" t="s">
        <v>43</v>
      </c>
      <c r="E24" s="15" t="n">
        <v>2</v>
      </c>
      <c r="F24" s="17" t="n">
        <v>30365</v>
      </c>
      <c r="G24" s="18" t="s">
        <v>37</v>
      </c>
      <c r="H24" s="18" t="n">
        <v>0</v>
      </c>
      <c r="I24" s="18" t="n">
        <v>5</v>
      </c>
      <c r="J24" s="18" t="n">
        <v>1</v>
      </c>
      <c r="K24" s="18" t="n">
        <v>5</v>
      </c>
      <c r="L24" s="19"/>
      <c r="M24" s="20" t="s">
        <v>87</v>
      </c>
      <c r="N24" s="16" t="s">
        <v>88</v>
      </c>
    </row>
    <row r="25" customFormat="false" ht="15" hidden="false" customHeight="true" outlineLevel="0" collapsed="false">
      <c r="A25" s="15" t="n">
        <v>3</v>
      </c>
      <c r="B25" s="16" t="s">
        <v>80</v>
      </c>
      <c r="C25" s="16" t="s">
        <v>48</v>
      </c>
      <c r="D25" s="16" t="s">
        <v>49</v>
      </c>
      <c r="E25" s="15" t="n">
        <v>1</v>
      </c>
      <c r="F25" s="17" t="n">
        <v>11271</v>
      </c>
      <c r="G25" s="18" t="s">
        <v>37</v>
      </c>
      <c r="H25" s="18" t="n">
        <v>0</v>
      </c>
      <c r="I25" s="18" t="n">
        <v>5</v>
      </c>
      <c r="J25" s="18" t="n">
        <v>0</v>
      </c>
      <c r="K25" s="18" t="n">
        <v>3</v>
      </c>
      <c r="L25" s="19"/>
      <c r="M25" s="20" t="s">
        <v>89</v>
      </c>
      <c r="N25" s="16" t="s">
        <v>90</v>
      </c>
    </row>
    <row r="26" customFormat="false" ht="15" hidden="false" customHeight="true" outlineLevel="0" collapsed="false">
      <c r="A26" s="15" t="n">
        <v>3</v>
      </c>
      <c r="B26" s="16" t="s">
        <v>80</v>
      </c>
      <c r="C26" s="16" t="s">
        <v>48</v>
      </c>
      <c r="D26" s="16" t="s">
        <v>49</v>
      </c>
      <c r="E26" s="15" t="n">
        <v>2</v>
      </c>
      <c r="F26" s="17" t="n">
        <v>11072</v>
      </c>
      <c r="G26" s="18" t="s">
        <v>37</v>
      </c>
      <c r="H26" s="18" t="n">
        <v>0</v>
      </c>
      <c r="I26" s="18" t="n">
        <v>5</v>
      </c>
      <c r="J26" s="18" t="n">
        <v>0</v>
      </c>
      <c r="K26" s="18" t="n">
        <v>4</v>
      </c>
      <c r="L26" s="19"/>
      <c r="M26" s="20" t="s">
        <v>91</v>
      </c>
      <c r="N26" s="16" t="s">
        <v>92</v>
      </c>
    </row>
    <row r="27" customFormat="false" ht="15" hidden="false" customHeight="true" outlineLevel="0" collapsed="false">
      <c r="A27" s="15" t="n">
        <v>4</v>
      </c>
      <c r="B27" s="16" t="s">
        <v>93</v>
      </c>
      <c r="C27" s="16" t="s">
        <v>35</v>
      </c>
      <c r="D27" s="16" t="s">
        <v>36</v>
      </c>
      <c r="E27" s="15" t="n">
        <v>1</v>
      </c>
      <c r="F27" s="17" t="n">
        <v>24062</v>
      </c>
      <c r="G27" s="18" t="s">
        <v>37</v>
      </c>
      <c r="H27" s="18" t="n">
        <v>0</v>
      </c>
      <c r="I27" s="18" t="n">
        <v>4</v>
      </c>
      <c r="J27" s="18" t="n">
        <v>6</v>
      </c>
      <c r="K27" s="18" t="n">
        <v>4</v>
      </c>
      <c r="L27" s="18" t="n">
        <v>4</v>
      </c>
      <c r="M27" s="20" t="s">
        <v>94</v>
      </c>
      <c r="N27" s="16" t="s">
        <v>95</v>
      </c>
    </row>
    <row r="28" customFormat="false" ht="15" hidden="false" customHeight="true" outlineLevel="0" collapsed="false">
      <c r="A28" s="15" t="n">
        <v>4</v>
      </c>
      <c r="B28" s="16" t="s">
        <v>93</v>
      </c>
      <c r="C28" s="16" t="s">
        <v>35</v>
      </c>
      <c r="D28" s="16" t="s">
        <v>36</v>
      </c>
      <c r="E28" s="15" t="n">
        <v>2</v>
      </c>
      <c r="F28" s="17" t="n">
        <v>23648</v>
      </c>
      <c r="G28" s="18" t="s">
        <v>37</v>
      </c>
      <c r="H28" s="18" t="n">
        <v>0</v>
      </c>
      <c r="I28" s="18" t="n">
        <v>4</v>
      </c>
      <c r="J28" s="18" t="n">
        <v>7</v>
      </c>
      <c r="K28" s="18" t="n">
        <v>4</v>
      </c>
      <c r="L28" s="18" t="n">
        <v>4</v>
      </c>
      <c r="M28" s="20" t="s">
        <v>96</v>
      </c>
      <c r="N28" s="16" t="s">
        <v>97</v>
      </c>
    </row>
    <row r="29" customFormat="false" ht="15" hidden="false" customHeight="true" outlineLevel="0" collapsed="false">
      <c r="A29" s="15" t="n">
        <v>4</v>
      </c>
      <c r="B29" s="16" t="s">
        <v>93</v>
      </c>
      <c r="C29" s="16" t="s">
        <v>42</v>
      </c>
      <c r="D29" s="16" t="s">
        <v>43</v>
      </c>
      <c r="E29" s="15" t="n">
        <v>1</v>
      </c>
      <c r="F29" s="17" t="n">
        <v>43514</v>
      </c>
      <c r="G29" s="18" t="s">
        <v>37</v>
      </c>
      <c r="H29" s="18" t="n">
        <v>0</v>
      </c>
      <c r="I29" s="18" t="n">
        <v>5</v>
      </c>
      <c r="J29" s="18" t="n">
        <v>4</v>
      </c>
      <c r="K29" s="18" t="n">
        <v>5</v>
      </c>
      <c r="L29" s="18" t="n">
        <v>5</v>
      </c>
      <c r="M29" s="20" t="s">
        <v>98</v>
      </c>
      <c r="N29" s="16" t="s">
        <v>99</v>
      </c>
    </row>
    <row r="30" customFormat="false" ht="15" hidden="false" customHeight="true" outlineLevel="0" collapsed="false">
      <c r="A30" s="15" t="n">
        <v>4</v>
      </c>
      <c r="B30" s="16" t="s">
        <v>93</v>
      </c>
      <c r="C30" s="16" t="s">
        <v>42</v>
      </c>
      <c r="D30" s="16" t="s">
        <v>43</v>
      </c>
      <c r="E30" s="15" t="n">
        <v>2</v>
      </c>
      <c r="F30" s="17" t="n">
        <v>47395</v>
      </c>
      <c r="G30" s="18" t="s">
        <v>37</v>
      </c>
      <c r="H30" s="18" t="n">
        <v>0</v>
      </c>
      <c r="I30" s="18" t="n">
        <v>5</v>
      </c>
      <c r="J30" s="18" t="n">
        <v>1</v>
      </c>
      <c r="K30" s="18" t="n">
        <v>5</v>
      </c>
      <c r="L30" s="18" t="n">
        <v>5</v>
      </c>
      <c r="M30" s="20" t="s">
        <v>100</v>
      </c>
      <c r="N30" s="16" t="s">
        <v>101</v>
      </c>
    </row>
    <row r="31" customFormat="false" ht="15" hidden="false" customHeight="true" outlineLevel="0" collapsed="false">
      <c r="A31" s="15" t="n">
        <v>4</v>
      </c>
      <c r="B31" s="16" t="s">
        <v>93</v>
      </c>
      <c r="C31" s="16" t="s">
        <v>48</v>
      </c>
      <c r="D31" s="16" t="s">
        <v>49</v>
      </c>
      <c r="E31" s="15" t="n">
        <v>1</v>
      </c>
      <c r="F31" s="17" t="n">
        <v>11590</v>
      </c>
      <c r="G31" s="18" t="s">
        <v>37</v>
      </c>
      <c r="H31" s="18" t="n">
        <v>0</v>
      </c>
      <c r="I31" s="18" t="n">
        <v>5</v>
      </c>
      <c r="J31" s="18" t="n">
        <v>5</v>
      </c>
      <c r="K31" s="18" t="n">
        <v>3</v>
      </c>
      <c r="L31" s="18" t="n">
        <v>3</v>
      </c>
      <c r="M31" s="20" t="s">
        <v>102</v>
      </c>
      <c r="N31" s="16" t="s">
        <v>103</v>
      </c>
    </row>
    <row r="32" customFormat="false" ht="15" hidden="false" customHeight="true" outlineLevel="0" collapsed="false">
      <c r="A32" s="15" t="n">
        <v>4</v>
      </c>
      <c r="B32" s="16" t="s">
        <v>93</v>
      </c>
      <c r="C32" s="16" t="s">
        <v>48</v>
      </c>
      <c r="D32" s="16" t="s">
        <v>49</v>
      </c>
      <c r="E32" s="15" t="n">
        <v>2</v>
      </c>
      <c r="F32" s="17" t="n">
        <v>14613</v>
      </c>
      <c r="G32" s="18" t="s">
        <v>37</v>
      </c>
      <c r="H32" s="18" t="n">
        <v>0</v>
      </c>
      <c r="I32" s="18" t="n">
        <v>5</v>
      </c>
      <c r="J32" s="18" t="n">
        <v>2</v>
      </c>
      <c r="K32" s="18" t="n">
        <v>3</v>
      </c>
      <c r="L32" s="18" t="n">
        <v>3</v>
      </c>
      <c r="M32" s="20" t="s">
        <v>104</v>
      </c>
      <c r="N32" s="16" t="s">
        <v>105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17.25" hidden="false" customHeight="true" outlineLevel="0" collapsed="false">
      <c r="A1" s="2" t="s">
        <v>106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107</v>
      </c>
      <c r="B2" s="3"/>
      <c r="C2" s="3"/>
      <c r="D2" s="3"/>
      <c r="E2" s="3"/>
      <c r="F2" s="3"/>
      <c r="G2" s="3"/>
    </row>
    <row r="4" customFormat="false" ht="23.25" hidden="false" customHeight="true" outlineLevel="0" collapsed="false">
      <c r="A4" s="14" t="s">
        <v>28</v>
      </c>
      <c r="B4" s="14" t="s">
        <v>108</v>
      </c>
      <c r="C4" s="14" t="s">
        <v>109</v>
      </c>
      <c r="D4" s="14" t="s">
        <v>110</v>
      </c>
      <c r="E4" s="14" t="s">
        <v>111</v>
      </c>
      <c r="F4" s="14" t="s">
        <v>112</v>
      </c>
      <c r="G4" s="14" t="s">
        <v>113</v>
      </c>
    </row>
    <row r="5" customFormat="false" ht="15" hidden="false" customHeight="true" outlineLevel="0" collapsed="false">
      <c r="A5" s="15" t="s">
        <v>35</v>
      </c>
      <c r="B5" s="21" t="n">
        <f aca="false">IFERROR(COUNTIFS(Avaliacao!C3:C32,A5,Avaliacao!G3:G32,"S")/COUNTIFS(Avaliacao!C3:C32,A5,Avaliacao!G3:G32,"&lt;&gt;")*100,"")</f>
        <v>100</v>
      </c>
      <c r="C5" s="21" t="n">
        <f aca="false">IFERROR(AVERAGEIFS(Avaliacao!H3:H32,Avaliacao!C3:C32,A5),"")</f>
        <v>0</v>
      </c>
      <c r="D5" s="21" t="n">
        <f aca="false">IFERROR(AVERAGEIFS(Avaliacao!I3:I32,Avaliacao!C3:C32,A5),"")</f>
        <v>4.8</v>
      </c>
      <c r="E5" s="21" t="n">
        <f aca="false">IFERROR(AVERAGEIFS(Avaliacao!J3:J32,Avaliacao!C3:C32,A5),"")</f>
        <v>1.5</v>
      </c>
      <c r="F5" s="21" t="n">
        <f aca="false">IFERROR(AVERAGEIFS(Avaliacao!K3:K32,Avaliacao!C3:C32,A5),"")</f>
        <v>4.8</v>
      </c>
      <c r="G5" s="21" t="n">
        <f aca="false">IFERROR(AVERAGEIFS(Avaliacao!L3:L32,Avaliacao!C3:C32,A5,Avaliacao!A3:A32,4),"")</f>
        <v>4</v>
      </c>
    </row>
    <row r="6" customFormat="false" ht="15" hidden="false" customHeight="true" outlineLevel="0" collapsed="false">
      <c r="A6" s="15" t="s">
        <v>42</v>
      </c>
      <c r="B6" s="21" t="n">
        <f aca="false">IFERROR(COUNTIFS(Avaliacao!C3:C32,A6,Avaliacao!G3:G32,"S")/COUNTIFS(Avaliacao!C3:C32,A6,Avaliacao!G3:G32,"&lt;&gt;")*100,"")</f>
        <v>100</v>
      </c>
      <c r="C6" s="21" t="n">
        <f aca="false">IFERROR(AVERAGEIFS(Avaliacao!H3:H32,Avaliacao!C3:C32,A6),"")</f>
        <v>0</v>
      </c>
      <c r="D6" s="21" t="n">
        <f aca="false">IFERROR(AVERAGEIFS(Avaliacao!I3:I32,Avaliacao!C3:C32,A6),"")</f>
        <v>5</v>
      </c>
      <c r="E6" s="21" t="n">
        <f aca="false">IFERROR(AVERAGEIFS(Avaliacao!J3:J32,Avaliacao!C3:C32,A6),"")</f>
        <v>0.7</v>
      </c>
      <c r="F6" s="21" t="n">
        <f aca="false">IFERROR(AVERAGEIFS(Avaliacao!K3:K32,Avaliacao!C3:C32,A6),"")</f>
        <v>4.9</v>
      </c>
      <c r="G6" s="21" t="n">
        <f aca="false">IFERROR(AVERAGEIFS(Avaliacao!L3:L32,Avaliacao!C3:C32,A6,Avaliacao!A3:A32,4),"")</f>
        <v>5</v>
      </c>
    </row>
    <row r="7" customFormat="false" ht="15" hidden="false" customHeight="true" outlineLevel="0" collapsed="false">
      <c r="A7" s="15" t="s">
        <v>48</v>
      </c>
      <c r="B7" s="21" t="n">
        <f aca="false">IFERROR(COUNTIFS(Avaliacao!C3:C32,A7,Avaliacao!G3:G32,"S")/COUNTIFS(Avaliacao!C3:C32,A7,Avaliacao!G3:G32,"&lt;&gt;")*100,"")</f>
        <v>100</v>
      </c>
      <c r="C7" s="21" t="n">
        <f aca="false">IFERROR(AVERAGEIFS(Avaliacao!H3:H32,Avaliacao!C3:C32,A7),"")</f>
        <v>0</v>
      </c>
      <c r="D7" s="21" t="n">
        <f aca="false">IFERROR(AVERAGEIFS(Avaliacao!I3:I32,Avaliacao!C3:C32,A7),"")</f>
        <v>4.4</v>
      </c>
      <c r="E7" s="21" t="n">
        <f aca="false">IFERROR(AVERAGEIFS(Avaliacao!J3:J32,Avaliacao!C3:C32,A7),"")</f>
        <v>0.7</v>
      </c>
      <c r="F7" s="21" t="n">
        <f aca="false">IFERROR(AVERAGEIFS(Avaliacao!K3:K32,Avaliacao!C3:C32,A7),"")</f>
        <v>3.4</v>
      </c>
      <c r="G7" s="21" t="n">
        <f aca="false">IFERROR(AVERAGEIFS(Avaliacao!L3:L32,Avaliacao!C3:C32,A7,Avaliacao!A3:A32,4),"")</f>
        <v>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2026-08-18T22:02:30Z</dcterms:created>
  <dc:creator>openpyxl</dc:creator>
  <dc:description/>
  <dc:language>en-US</dc:language>
  <cp:lastModifiedBy/>
  <dcterms:modified xsi:type="dcterms:W3CDTF">2026-08-19T11:38:47Z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