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Instrucoes" sheetId="1" state="visible" r:id="rId3"/>
    <sheet name="Avaliacao" sheetId="2" state="visible" r:id="rId4"/>
    <sheet name="Resumo por Provedor" sheetId="3" state="visible" r:id="rId5"/>
    <sheet name="Resumo por Nivel" sheetId="4" state="visible" r:id="rId6"/>
    <sheet name="Revisao" sheetId="5" state="visible" r:id="rId7"/>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<sst xmlns="http://schemas.openxmlformats.org/spreadsheetml/2006/main" count="588" uniqueCount="266">
  <si>
    <t xml:space="preserve">Rubrica de avaliação — TCC: escada de complexidade para código gerado por LLMs</t>
  </si>
  <si>
    <t xml:space="preserve">Uma linha por execução na aba 'Avaliacao' (60 = 5 níveis × 4 modelos × 3 tentativas). Revisão de 28/09/2026: regras abaixo aplicadas igualmente a todas as execuções; tentativas 1 e 2 do Gemini refeitas com identificador fixo na mesma data. Mudanças na aba 'Revisao'.</t>
  </si>
  <si>
    <t xml:space="preserve">Coluna</t>
  </si>
  <si>
    <t xml:space="preserve">Como preencher</t>
  </si>
  <si>
    <t xml:space="preserve">Rodou sem alteração? (S/N)</t>
  </si>
  <si>
    <t xml:space="preserve">Fórmula: 'S' quando não houve nenhuma correção manual (coluna H = 0); 'N' caso contrário.</t>
  </si>
  <si>
    <t xml:space="preserve">Nº de correcoes manuais</t>
  </si>
  <si>
    <t xml:space="preserve">Quantas mudancas voce precisou fazer no codigo ate ele funcionar. 0 = rodou de primeira.</t>
  </si>
  <si>
    <t xml:space="preserve">Completude (0-5)</t>
  </si>
  <si>
    <t xml:space="preserve">Parte de 5 e perde 1 ponto por requisito do prompt não atendido (Apêndice A do artigo). Escolhas que o prompt não fixa não perdem ponto: interface de entrada (argumento ou interativa), porta, campos extras, modelo de dados (tabelas separadas), 400 ou 409 para duplicidade.</t>
  </si>
  <si>
    <t xml:space="preserve">Qualidade estatica (warnings)</t>
  </si>
  <si>
    <t xml:space="preserve">Coluna J: contagem original. Colunas P a R: reexecução com analise/eslint.mjs (regras recomendadas do ESLint 9; globais de navegador em public/ e similares), normalizada por 100 linhas de JavaScript.</t>
  </si>
  <si>
    <t xml:space="preserve">Boas praticas (1-5)</t>
  </si>
  <si>
    <t xml:space="preserve">Escala 0-5 pela rubrica holística do Quadro 3 do artigo: separação de responsabilidades, tratamento de erros, validação de entrada, nomes e comentários.</t>
  </si>
  <si>
    <t xml:space="preserve">Seguranca (1-5)</t>
  </si>
  <si>
    <t xml:space="preserve">Só no nível 4. Soma de cinco aspectos (0; 0,5; 1): senha com derivação lenta e sal; segredo de sessão fora do código; sessão protegida (1 = cookie httpOnly com token anti-CSRF; 0,5 = SameSite explícito sem token, ou Bearer por cabeçalho; 0 = nenhum); login com o mesmo trabalho para usuário inexistente; nenhuma credencial padrão.</t>
  </si>
  <si>
    <t xml:space="preserve">Observacoes</t>
  </si>
  <si>
    <t xml:space="preserve">Anotações do avaliador feitas durante os testes (mantidas como registradas). A coluna Z resume o que a revisão mudou em cada linha.</t>
  </si>
  <si>
    <t xml:space="preserve">Legenda de cores</t>
  </si>
  <si>
    <t xml:space="preserve">Preencher (amarelo)</t>
  </si>
  <si>
    <t xml:space="preserve">Ja preenchido / calculado (cinza claro)</t>
  </si>
  <si>
    <t xml:space="preserve">Linha de exemplo (verde)</t>
  </si>
  <si>
    <t xml:space="preserve">Preenchido com dados reais (testado)</t>
  </si>
  <si>
    <t xml:space="preserve">Truncado / bloqueado - precisa rerodar ou testar localmente</t>
  </si>
  <si>
    <t xml:space="preserve">Status: 60/60 execuções avaliadas; revisão de 28/09/2026 e tentativas 1 e 2 do Gemini refeitas, registradas na aba 'Revisao'.</t>
  </si>
  <si>
    <t xml:space="preserve">Avaliação — 60 execuções (5 níveis × 4 modelos × 3 tentativas) — revisão de 28/09/2026; tentativas 1 e 2 do Gemini refeitas (ver aba Revisao)</t>
  </si>
  <si>
    <t xml:space="preserve">Nivel</t>
  </si>
  <si>
    <t xml:space="preserve">Nome do nivel</t>
  </si>
  <si>
    <t xml:space="preserve">Provedor</t>
  </si>
  <si>
    <t xml:space="preserve">Modelo (identificador pedido)</t>
  </si>
  <si>
    <t xml:space="preserve">Tentativa</t>
  </si>
  <si>
    <t xml:space="preserve">Tamanho registrado na avaliação (chars)</t>
  </si>
  <si>
    <t xml:space="preserve">Nº correcoes manuais</t>
  </si>
  <si>
    <t xml:space="preserve">ESLint — contagem original</t>
  </si>
  <si>
    <t xml:space="preserve">Boas práticas (0-5)</t>
  </si>
  <si>
    <t xml:space="preserve">Segurança (0-5) = soma U:Y</t>
  </si>
  <si>
    <t xml:space="preserve">Arquivo</t>
  </si>
  <si>
    <t xml:space="preserve">Tamanho do arquivo publicado (chars)</t>
  </si>
  <si>
    <t xml:space="preserve">Linhas JS (reexecução)</t>
  </si>
  <si>
    <t xml:space="preserve">Problemas ESLint (reexecução)</t>
  </si>
  <si>
    <t xml:space="preserve">Problemas por 100 linhas</t>
  </si>
  <si>
    <t xml:space="preserve">Tokens de saída</t>
  </si>
  <si>
    <t xml:space="preserve">Temperatura efetiva</t>
  </si>
  <si>
    <t xml:space="preserve">Seg.: senha (0; 0,5; 1)</t>
  </si>
  <si>
    <t xml:space="preserve">Seg.: segredo de sessão</t>
  </si>
  <si>
    <t xml:space="preserve">Seg.: sessão (CSRF/XSS)</t>
  </si>
  <si>
    <t xml:space="preserve">Seg.: tempo de login</t>
  </si>
  <si>
    <t xml:space="preserve">Seg.: sem credencial padrão</t>
  </si>
  <si>
    <t xml:space="preserve">Nota da revisão (28/09/2026)</t>
  </si>
  <si>
    <t xml:space="preserve">Persistencia simples</t>
  </si>
  <si>
    <t xml:space="preserve">claude</t>
  </si>
  <si>
    <t xml:space="preserve">claude-sonnet-5</t>
  </si>
  <si>
    <t xml:space="preserve">Rodou de primeira (CLI e interativo). Escaping CSV RFC4180 correto; append seguro.</t>
  </si>
  <si>
    <t xml:space="preserve">outputs/nivel0-claude-t1.md</t>
  </si>
  <si>
    <t xml:space="preserve">padrão da API (não enviada)</t>
  </si>
  <si>
    <t xml:space="preserve">Mesma robustez da tentativa 1; pequenas variações de nomenclatura interna.</t>
  </si>
  <si>
    <t xml:space="preserve">outputs/nivel0-claude-t2.md</t>
  </si>
  <si>
    <t xml:space="preserve">gpt</t>
  </si>
  <si>
    <t xml:space="preserve">gpt-5.6 (resolvido pela API: gpt-5.6-sol)</t>
  </si>
  <si>
    <t xml:space="preserve">Usa fs/promises + readline/promises; detecta arquivo vazio antes de escrever cabecalho.</t>
  </si>
  <si>
    <t xml:space="preserve">outputs/nivel0-gpt-t1.md</t>
  </si>
  <si>
    <t xml:space="preserve">Mais defensivo: detecta ausencia de TTY (evita travar esperando input) e checa byte final do arquivo.</t>
  </si>
  <si>
    <t xml:space="preserve">outputs/nivel0-gpt-t2.md</t>
  </si>
  <si>
    <t xml:space="preserve">gemini</t>
  </si>
  <si>
    <t xml:space="preserve">gemini-3.1-pro-preview</t>
  </si>
  <si>
    <t xml:space="preserve">não se aplica (refeita)</t>
  </si>
  <si>
    <t xml:space="preserve">Tentativa refeita em 28/09/2026 (gemini-3.1-pro-preview, configuração da t3). Nome via argumento de linha de comando. Testado: duas execuções, CSV com cabeçalho e duas linhas, sem sobrescrever; escapa aspas no nome e trata erro de escrita.</t>
  </si>
  <si>
    <t xml:space="preserve">outputs/nivel0-gemini-t1.md</t>
  </si>
  <si>
    <t xml:space="preserve">Tentativa refeita em 28/09/2026 com o identificador fixo; a resposta original está em outputs/substituidas/ e as notas que mudaram, na aba Revisao.</t>
  </si>
  <si>
    <t xml:space="preserve">Tentativa refeita em 28/09/2026 (gemini-3.1-pro-preview, configuração da t3). Nome via argumento de linha de comando. Testado: duas execuções, CSV com cabeçalho e duas linhas, sem sobrescrever; trata erro de escrita. Não escapa aspas internas do nome (as aspas externas protegem as vírgulas).</t>
  </si>
  <si>
    <t xml:space="preserve">outputs/nivel0-gemini-t2.md</t>
  </si>
  <si>
    <t xml:space="preserve">CRUD com persistencia em banco</t>
  </si>
  <si>
    <t xml:space="preserve">RERODADO com harness corrigido - nao truncou mais (end_turn, 7421 tokens). CRUD 100% funcional: add/list/update/remove, duplicidade rejeitada corretamente. Arquitetura em camadas (db/validators/userService/cli).</t>
  </si>
  <si>
    <t xml:space="preserve">outputs/nivel1-claude-t1.md</t>
  </si>
  <si>
    <t xml:space="preserve">RERODADO com harness corrigido - nao truncou mais (end_turn, 8660 tokens). CRUD 100% funcional. Bonus: oferece menu interativo alem de argv (unico entre os projetos testados a suportar os dois modos de verdade).</t>
  </si>
  <si>
    <t xml:space="preserve">outputs/nivel1-claude-t2.md</t>
  </si>
  <si>
    <t xml:space="preserve">100% de primeira: cadastro, rejeicao de duplicidade com mensagem amigavel, listagem em tabela, atualizacao e remocao - todos testados com sucesso.</t>
  </si>
  <si>
    <t xml:space="preserve">outputs/nivel1-gpt-t1.md</t>
  </si>
  <si>
    <t xml:space="preserve">100% de primeira, incluindo duplicidade case-insensitive (JOAO@ vs joao@) via COLLATE NOCASE.</t>
  </si>
  <si>
    <t xml:space="preserve">outputs/nivel1-gpt-t2.md</t>
  </si>
  <si>
    <t xml:space="preserve">Tentativa refeita em 28/09/2026 (gemini-3.1-pro-preview, configuração da t3). CLI por argumentos (init, add, list, update, delete) com sqlite3 e módulo db.js. Testado: criação do schema, cadastro, listagem, duplicidade rejeitada com mensagem amigável, e-mail inválido recusado, atualização e remoção. Validação e interface no mesmo arquivo.</t>
  </si>
  <si>
    <t xml:space="preserve">outputs/nivel1-gemini-t1.md</t>
  </si>
  <si>
    <t xml:space="preserve">Tentativa refeita em 28/09/2026 (gemini-3.1-pro-preview, configuração da t3). Menu interativo em readline (um arquivo, dividido em seções). Testado em terminal simulado (analise/teste_interativo_nivel1_gemini.py): cadastro, listagem, duplicidade rejeitada, e-mail inválido e ID não numérico recusados, atualização, persistência entre execuções e remoção. Schema criado na inicialização.</t>
  </si>
  <si>
    <t xml:space="preserve">outputs/nivel1-gemini-t2.md</t>
  </si>
  <si>
    <t xml:space="preserve">API REST</t>
  </si>
  <si>
    <t xml:space="preserve">RERODADO com harness corrigido - nao truncou mais (end_turn, 7140 tokens). CRUD 100% funcional: 201/409/200/200/204 corretos. Bonus: entregou paginacao (page/limit) nao pedida no prompt.</t>
  </si>
  <si>
    <t xml:space="preserve">outputs/nivel2-claude-t1.md</t>
  </si>
  <si>
    <t xml:space="preserve">sem metadados</t>
  </si>
  <si>
    <t xml:space="preserve">RERODADO com harness corrigido - nao truncou mais (end_turn, 6011 tokens). CRUD 100% funcional: 201/409/200/200/204 corretos. Estrutura em camadas (routes/repository/validation) mais organizada que a t1.</t>
  </si>
  <si>
    <t xml:space="preserve">outputs/nivel2-claude-t2.md</t>
  </si>
  <si>
    <t xml:space="preserve">201/409/200 corretos. Bug cosmetico: log de inicio mostra 'localhost:3000' fixo mesmo rodando em outra porta (o bind real respeita PORT).</t>
  </si>
  <si>
    <t xml:space="preserve">outputs/nivel2-gpt-t1.md</t>
  </si>
  <si>
    <t xml:space="preserve">Implementacao mais rigorosa do grupo: respeita PORT corretamente (inclusive no log), retorna 409 Conflict correto, erros estruturados com status+mensagem, sem framework (http nativo).</t>
  </si>
  <si>
    <t xml:space="preserve">outputs/nivel2-gpt-t2.md</t>
  </si>
  <si>
    <t xml:space="preserve">Tentativa refeita em 28/09/2026 (gemini-3.1-pro-preview, configuração da t3). Mesma estrutura da t1 original (database.js + server.js). API testada via HTTP real: 201, 400 para duplicidade, 200, 204 e 404 para id inexistente, sem vazar erros internos. Porta fixa em 3000 (ignora PORT).</t>
  </si>
  <si>
    <t xml:space="preserve">outputs/nivel2-gemini-t1.md</t>
  </si>
  <si>
    <t xml:space="preserve">Tentativa refeita em 28/09/2026 (gemini-3.1-pro-preview, configuração da t3). Mesma estrutura da t1, agora com package.json. API testada via HTTP real: 201, 400 para duplicidade, 200, 204 e 404. Porta fixa em 3000 (ignora PORT).</t>
  </si>
  <si>
    <t xml:space="preserve">outputs/nivel2-gemini-t2.md</t>
  </si>
  <si>
    <t xml:space="preserve">Sistema web full-stack</t>
  </si>
  <si>
    <t xml:space="preserve">CRUD completo funcional (201/409/200/200/204). Adicionou campo 'telefone' (opcional) por conta propria - nivel nao especificava campos, entao foi decisao razoavel documentada. Rota/campos em portugues.</t>
  </si>
  <si>
    <t xml:space="preserve">outputs/nivel3-claude-t1.md</t>
  </si>
  <si>
    <t xml:space="preserve">CRUD completo funcional (201/409/200/200/204), so name+email (sem telefone). Rota/campos em ingles - mesma inconsistencia de idioma entre tentativas que apareceu nos outros 2 provedores.</t>
  </si>
  <si>
    <t xml:space="preserve">outputs/nivel3-claude-t2.md</t>
  </si>
  <si>
    <t xml:space="preserve">CRUD completo funcional (201/409/200/200/204). Respeita PORT via env corretamente. Rota em portugues (/api/usuarios), timestamps criadoEm/atualizadoEm.</t>
  </si>
  <si>
    <t xml:space="preserve">outputs/nivel3-gpt-t1.md</t>
  </si>
  <si>
    <t xml:space="preserve">CRUD completo funcional (201/409/200/200/204), com bonus: endpoint /api/health nao pedido no prompt. Mensagens de erro estruturadas por campo (fields.email). Rota em ingles (/api/users).</t>
  </si>
  <si>
    <t xml:space="preserve">outputs/nivel3-gpt-t2.md</t>
  </si>
  <si>
    <t xml:space="preserve">Tentativa refeita em 28/09/2026 (gemini-3.1-pro-preview, configuração da t3). server.js praticamente idêntico ao da t2 original (mensagem amigável na duplicidade ao cadastrar, err.message bruto na listagem, edição e remoção, porta fixa), mas o front-end não confere response.ok: um cadastro recusado some sem aviso ao usuário. CRUD completo pela interface e pela API.</t>
  </si>
  <si>
    <t xml:space="preserve">outputs/nivel3-gemini-t1.md</t>
  </si>
  <si>
    <t xml:space="preserve">Tentativa refeita em 28/09/2026 (gemini-3.1-pro-preview, configuração da t3). CRUD completo pela interface e pela API. E-mail duplicado responde 500 com o erro bruto do SQLite (o prompt do nível 3 não fixa códigos HTTP: pesa em boas práticas, não em completude); front-end não confere response.ok; porta fixa.</t>
  </si>
  <si>
    <t xml:space="preserve">outputs/nivel3-gemini-t2.md</t>
  </si>
  <si>
    <t xml:space="preserve">Seguranca (autenticacao e autorizacao)</t>
  </si>
  <si>
    <t xml:space="preserve">SEGURANCA - testado de ponta a ponta. Interpretacao de dados DIFERENTE dos outros dois modelos: separa 'users' (login) de 'records' (o que e de fato cadastrado, com titulo+descricao e dono/owner via JOIN) - leitura valida do prompt, ja que o nivel nao especificava os campos. Hash com scrypt nativo do Node + timingSafeEqual (mesmo nivel do GPT). JWT_SECRET vem de env var com fallback CLARAMENTE rotulado 'dev-secret-nao-use-em-producao' (bem melhor que o secret hardcoded do Gemini, que nao alertava nada). Cookie: httpOnly + sameSite=lax (comentado explicitamente como mitigacao de CSRF) + secure condicional a NODE_ENV=production. Sem admin padrao: usa endpoint publico /register para autocadastro, sem senha fraca pre-definida. NAO tem token CSRF dedicado (diferente do GPT) - depende so do sameSite=lax, que e uma protecao real mas mais fraca que double-submit token.</t>
  </si>
  <si>
    <t xml:space="preserve">outputs/nivel4-claude-t1.md</t>
  </si>
  <si>
    <t xml:space="preserve">Completude: 4 → 5; Segurança: 4 → 3,0 (motivo na aba Revisao)</t>
  </si>
  <si>
    <t xml:space="preserve">SEGURANCA - mesmo padrao de qualidade da t1 (sameSite=lax comentado, secret com fallback rotulado como dev, endpoint /register publico, sem admin padrao fraco). Diferenca: usa bcryptjs (hash $2a$10$..., salgado corretamente) em vez de scrypt nativo - escolha tambem valida, mas sem a mitigacao extra de timing attack via timingSafeEqual que o bcrypt ja resolve internamente por design. Testado ponta a ponta: listagem publica, bloqueio sem sessao (401), registro+login+criacao autenticada funcionando.</t>
  </si>
  <si>
    <t xml:space="preserve">outputs/nivel4-claude-t2.md</t>
  </si>
  <si>
    <t xml:space="preserve">SEGURANCA - a implementacao mais rigorosa dos 3 modelos, testada de ponta a ponta. Hash com scrypt (parametros explicitos N=16384/r=8/p=1) + comparacao em tempo constante (timingSafeEqual) - protege contra timing attack, algo que nem o Gemini fez. Sessao armazenada no servidor (token aleatorio, nao JWT) - revogavel, sem secret no codigo. Cookie com sameSite=lax + secure condicional + httpOnly. CSRF REAL: token dedicado por sessao, exigido via header x-csrf-token, comparado em tempo constante - testei o ataque simulado (cookie presente, sem header) e foi bloqueado (403); fluxo legitimo com token correto funcionou (201). NAO cria admin padrao com senha fraca - exige script separado (create-admin) com senha via variavel de ambiente, evitando expor a senha no historico do shell.</t>
  </si>
  <si>
    <t xml:space="preserve">outputs/nivel4-gpt-t1.md</t>
  </si>
  <si>
    <t xml:space="preserve">SEGURANCA - mesma robustez da t1, com um detalhe a mais: sameSite='strict' (mais restritivo que 'lax' da t1), e executa o scrypt mesmo quando o usuario nao existe no login, de proposito, para que tentativas com usuario invalido e senha errada demorem o mesmo tempo - mitigacao de timing attack no proprio endpoint de login, raro de ver implementado. CSRF testado e confirmado: ataque sem token bloqueado (403), fluxo legitimo passou pelas camadas de auth+CSRF corretamente.</t>
  </si>
  <si>
    <t xml:space="preserve">outputs/nivel4-gpt-t2.md</t>
  </si>
  <si>
    <t xml:space="preserve">Tentativa refeita em 28/09/2026 (gemini-3.1-pro-preview, configuração da t3). JWT por cabeçalho Bearer, guardado em localStorage; bcrypt; segredo fixo no código ('super_secret_key_change_in_production'); admin/admin123 criado na inicialização e funcional; login responde antes de verificar o hash quando o usuário não existe (mensagem genérica). Testado: listagem pública, escrita sem token bloqueada (401), login e escrita autenticada. db.js, server.js e public/ separados.</t>
  </si>
  <si>
    <t xml:space="preserve">outputs/nivel4-gemini-t1.md</t>
  </si>
  <si>
    <t xml:space="preserve">Tentativa refeita em 28/09/2026 (gemini-3.1-pro-preview, configuração da t3). Código quase idêntico ao da t3: JWT em cookie httpOnly sem SameSite e sem token anti-CSRF; segredo fixo ('chave_secreta_super_segura_para_jwt'); admin/admin123 criado, exibido no console e funcional; err.message devolvido ao cliente; tudo em server.js. Testado: listagem pública, escrita sem cookie bloqueada (401), login e escrita autenticada. O public/index.html só foi extraído depois do ajuste no extrator (falha do extrator, não do modelo).</t>
  </si>
  <si>
    <t xml:space="preserve">outputs/nivel4-gemini-t2.md</t>
  </si>
  <si>
    <t xml:space="preserve">groq</t>
  </si>
  <si>
    <t xml:space="preserve">openai/gpt-oss-120b (Groq)</t>
  </si>
  <si>
    <t xml:space="preserve">N/A</t>
  </si>
  <si>
    <t xml:space="preserve">Confirmado em teste local pelo autor (28/08/2026): duas execucoes consecutivas, users.csv com duas linhas, sem sobrescrever a anterior. Nao testavel no sandbox automatizado por exigir terminal real (prompt-sync) - mesma categoria do Gemini nivel 1.</t>
  </si>
  <si>
    <t xml:space="preserve">outputs/nivel0-groq-t1.md</t>
  </si>
  <si>
    <t xml:space="preserve">Via argumento de linha de comando (nao interativo). Testado: duas execucoes, CSV com 2 linhas, sem sobrescrever.</t>
  </si>
  <si>
    <t xml:space="preserve">outputs/nivel0-groq-t2.md</t>
  </si>
  <si>
    <t xml:space="preserve">CRUD completo via commander (add/list/update/delete), com confirmacao y/n na remocao. Testado: cadastro, duplicidade de e-mail rejeitada, atualizacao, remocao - tudo funcional.</t>
  </si>
  <si>
    <t xml:space="preserve">outputs/nivel1-groq-t1.md</t>
  </si>
  <si>
    <t xml:space="preserve">Confirmado em teste local pelo autor (28/08/2026), apos correcao de 2 dependencias (better-sqlite3 e inquirer, ver Seccao metodologica): cadastro, listagem e bloqueio de e-mail duplicado (mensagem amigavel, sem prosseguir) - tudo funcional. Nao testavel no sandbox automatizado por exigir terminal real (inquirer) - mesma categoria do Gemini nivel 1.</t>
  </si>
  <si>
    <t xml:space="preserve">outputs/nivel1-groq-t2.md</t>
  </si>
  <si>
    <t xml:space="preserve">Rodou sem alteração passa a 'N' (regra única: 'S' só sem nenhuma alteração).</t>
  </si>
  <si>
    <t xml:space="preserve">1 correcao manual: package.json continha uma linha de comentario invalida ('// package.json') dentro do JSON, quebrando o parsing - removida. Apos a correcao: CRUD completo via /users, 409 correto para e-mail duplicado.</t>
  </si>
  <si>
    <t xml:space="preserve">outputs/nivel2-groq-t1.md</t>
  </si>
  <si>
    <t xml:space="preserve">1 correcao manual: codigo importava o pacote 'sqlite' (wrapper de promises), mas so 'sqlite3' estava declarado no package.json - adicionado. CRUD funcional, mas retorna 400 (nao 409) para e-mail duplicado - inconsistente com a tentativa 1 do mesmo modelo.</t>
  </si>
  <si>
    <t xml:space="preserve">outputs/nivel2-groq-t2.md</t>
  </si>
  <si>
    <t xml:space="preserve">Rotas em /api/users (nao /users, como a descricao inicial sugeria). Campo 'age' em vez de 'birthdate' - interpretacao valida, pois o nivel nao especifica campos. CRUD completo testado, 409 correto; DELETE retorna 200 em vez de 204 (estilo, nao erro).</t>
  </si>
  <si>
    <t xml:space="preserve">outputs/nivel3-groq-t1.md</t>
  </si>
  <si>
    <t xml:space="preserve">CRUD completo funcional, 409 correto, DELETE 204. Boas praticas com ressalva: um stack trace bruto do SQLite (constraint de e-mail duplicado) e impresso no console do servidor mesmo a API respondendo corretamente ao cliente - vazamento de log, nao de seguranca.</t>
  </si>
  <si>
    <t xml:space="preserve">outputs/nivel3-groq-t2.md</t>
  </si>
  <si>
    <t xml:space="preserve">2 correcoes manuais: dependencia 'dotenv' usada no codigo mas ausente do package.json (adicionada); e o arquivo db/schema.sql nao foi extraido automaticamente (cabecalho com nome de arquivo entre parenteses no meio da frase, fora do padrao de extracao - criado manualmente com o conteudo exato do .md original, e o extrator foi atualizado para esse padrao). Seguranca: bcrypt correto, autenticacao via Bearer token (token nao enviado automaticamente pelo navegador em requisicoes cross-site, logo sem exposicao a CSRF por arquitetura), sem admin padrao (autocadastro publico). Segredo JWT com fallback rotulado (nao hardcoded puro).</t>
  </si>
  <si>
    <t xml:space="preserve">outputs/nivel4-groq-t1.md</t>
  </si>
  <si>
    <t xml:space="preserve">Correções manuais: 2 → 1; Boas práticas: em branco → 4; Segurança: 4 → 3,0 (motivo na aba Revisao)</t>
  </si>
  <si>
    <t xml:space="preserve">Arquitetura diferente da tentativa 1: usa cookie de sessao em vez de Bearer token. bcrypt correto (confirmado no banco), bloqueio sem token funcional. Porem cookie SEM atributo SameSite (confirmado via header Set-Cookie bruto) - mesma lacuna de CSRF real encontrada no Gemini nivel 4. Segredo JWT hardcoded com fallback ('supersecretkey'). Inconsistencia arquitetural relevante entre as duas tentativas do mesmo modelo neste nivel.</t>
  </si>
  <si>
    <t xml:space="preserve">outputs/nivel4-groq-t2.md</t>
  </si>
  <si>
    <t xml:space="preserve">Segurança: 3 → 2,5 (motivo na aba Revisao)</t>
  </si>
  <si>
    <t xml:space="preserve">Interativo (readline) e via argumento; ambos testados com sucesso. CSV com cabecalho, escapamento RFC 4180 completo.</t>
  </si>
  <si>
    <t xml:space="preserve">outputs/nivel0-claude-t3.md</t>
  </si>
  <si>
    <t xml:space="preserve">Via argumento de linha de comando. Testado: duas execucoes, CSV com 2 linhas e cabecalho, sem sobrescrever.</t>
  </si>
  <si>
    <t xml:space="preserve">outputs/nivel0-gemini-t3.md</t>
  </si>
  <si>
    <t xml:space="preserve">Interativo e via argumento. Testado: duas execucoes, CSV com cabecalho, sem sobrescrever.</t>
  </si>
  <si>
    <t xml:space="preserve">outputs/nivel0-gpt-t3.md</t>
  </si>
  <si>
    <t xml:space="preserve">Interativo e via argumento. Testado: duas execucoes, CSV sem cabecalho mas sem sobrescrever.</t>
  </si>
  <si>
    <t xml:space="preserve">outputs/nivel0-groq-t3.md</t>
  </si>
  <si>
    <t xml:space="preserve">CLI com parsing manual de argumentos (--name/--email/--dob). CRUD completo testado: cadastro, duplicidade de e-mail rejeitada, atualizacao, remocao.</t>
  </si>
  <si>
    <t xml:space="preserve">outputs/nivel1-claude-t3.md</t>
  </si>
  <si>
    <t xml:space="preserve">Menu interativo via readline; testavel neste sandbox apenas com delay artificial entre respostas simuladas (limitacao de teste, nao do codigo). Cadastro e listagem confirmados.</t>
  </si>
  <si>
    <t xml:space="preserve">outputs/nivel1-gemini-t3.md</t>
  </si>
  <si>
    <t xml:space="preserve">Sem mudança de nota. Menu testado de novo em 28/09/2026 num terminal simulado (analise/teste_interativo_nivel1_gemini.py): cadastro, listagem, duplicidade rejeitada, e-mail inválido e ID inexistente recusados com mensagem amigável, atualização, persistência entre execuções e remoção.</t>
  </si>
  <si>
    <t xml:space="preserve">CLI com aliases em portugues/ingles. CRUD completo testado, incluindo confirmacao de seguranca (--sim) exigida para remocao - boa pratica, nao bug.</t>
  </si>
  <si>
    <t xml:space="preserve">outputs/nivel1-gpt-t3.md</t>
  </si>
  <si>
    <t xml:space="preserve">2 correcoes manuais: better-sqlite3^9.4.3 sem binario pre-compilado (subido para ^12.2.0); chalk^5.3.0 e ESM-only, incompativel com require() do codigo (rebaixado para ^4.1.2). Apos corrigir, CRUD completo funcional com duplicidade rejeitada.</t>
  </si>
  <si>
    <t xml:space="preserve">outputs/nivel1-groq-t3.md</t>
  </si>
  <si>
    <t xml:space="preserve">API REST completa testada via HTTP real: criar, listar, 409 em duplicidade.</t>
  </si>
  <si>
    <t xml:space="preserve">outputs/nivel2-claude-t3.md</t>
  </si>
  <si>
    <t xml:space="preserve">API REST completa testada via HTTP real: criar, listar, 409 em duplicidade, prepared statements explicitos documentados no codigo.</t>
  </si>
  <si>
    <t xml:space="preserve">outputs/nivel2-gemini-t3.md</t>
  </si>
  <si>
    <t xml:space="preserve">API REST completa testada via HTTP real: criar, listar, 409 em duplicidade, envelope {dados,total} consistente.</t>
  </si>
  <si>
    <t xml:space="preserve">outputs/nivel2-gpt-t3.md</t>
  </si>
  <si>
    <t xml:space="preserve">2 correcoes manuais: comentario invalido '// package.json' dentro do proprio JSON (extrator atualizado para remover automaticamente); codigo nao criava o diretorio data/ necessario para o SQLite (SQLITE_CANTOPEN ate criar manualmente). Apos corrigir, CRUD completo funcional.</t>
  </si>
  <si>
    <t xml:space="preserve">outputs/nivel2-groq-t3.md</t>
  </si>
  <si>
    <t xml:space="preserve">Frontend + API REST completos testados via HTTP real: criar, listar, 409 em duplicidade.</t>
  </si>
  <si>
    <t xml:space="preserve">outputs/nivel3-claude-t3.md</t>
  </si>
  <si>
    <t xml:space="preserve">Frontend + API REST funcionais, mas com duas ressalvas de qualidade: porta hardcoded em 3000 (ignora variavel de ambiente PORT) e erro bruto do SQLite (UNIQUE constraint) vazado diretamente na resposta ao cliente em vez de mensagem amigavel (400 em vez de 409).</t>
  </si>
  <si>
    <t xml:space="preserve">outputs/nivel3-gemini-t3.md</t>
  </si>
  <si>
    <t xml:space="preserve">Frontend + API REST completos testados via HTTP real: criar, listar, 409 em duplicidade, mensagens em portugues consistentes.</t>
  </si>
  <si>
    <t xml:space="preserve">outputs/nivel3-gpt-t3.md</t>
  </si>
  <si>
    <t xml:space="preserve">1 correcao manual: dependencia 'cors' usada no codigo mas ausente do package.json (adicionada). Estrutura frontend/backend separada (nao e defeito, e escolha arquitetural valida). Apos corrigir, CRUD completo via HTTP real funcional.</t>
  </si>
  <si>
    <t xml:space="preserve">outputs/nivel3-groq-t3.md</t>
  </si>
  <si>
    <t xml:space="preserve">Autenticacao Bearer token completa testada: listagem publica, bloqueio sem token (401), registro, login, hash bcrypt confirmado no banco. Segredo JWT com fallback rotulado (nao hardcoded puro). ESLint reportou 12 avisos brutos, mas 11 sao falso-positivo de ambiente (localStorage/funcoes chamadas via onclick em public/app.js, arquivo de navegador lintado com regras de Node.js) - apenas 1 aviso real (variavel 'err' nao utilizada).</t>
  </si>
  <si>
    <t xml:space="preserve">outputs/nivel4-claude-t3.md</t>
  </si>
  <si>
    <t xml:space="preserve">Segurança: 4 → 3,0 (motivo na aba Revisao)</t>
  </si>
  <si>
    <t xml:space="preserve">Autenticacao por cookie completa testada: listagem publica, bloqueio sem token (401), login com credencial administrativa padrao fraca (admin/admin123) criada automaticamente e funcional de primeira - terceira ocorrencia identica nas tres tentativas deste nivel. Segredo JWT hardcoded sem fallback via variavel de ambiente. Cookie sem atributo SameSite.</t>
  </si>
  <si>
    <t xml:space="preserve">outputs/nivel4-gemini-t3.md</t>
  </si>
  <si>
    <t xml:space="preserve">Segurança: 2 → 1 (motivo na aba Revisao)</t>
  </si>
  <si>
    <t xml:space="preserve">Autenticacao por sessao (cookie) com formularios server-side testada de ponta a ponta: bloqueio sem login (302 redirect), criacao de admin via script dedicado (sem credencial padrao), login funcional, sessao autenticada confirmada, hash scrypt binario no banco. Token de sessao criptografico (crypto.randomBytes), token CSRF dedicado, cookie SameSite=strict.</t>
  </si>
  <si>
    <t xml:space="preserve">outputs/nivel4-gpt-t3.md</t>
  </si>
  <si>
    <t xml:space="preserve">Autenticacao Bearer token completa testada: listagem publica, bloqueio sem token (401), registro publico (sem admin padrao), login retornando JWT valido. Segredo JWT com fallback rotulado.</t>
  </si>
  <si>
    <t xml:space="preserve">outputs/nivel4-groq-t3.md</t>
  </si>
  <si>
    <t xml:space="preserve">Resumo agregado por provedor</t>
  </si>
  <si>
    <t xml:space="preserve">Calculado automaticamente a partir da aba 'Avaliacao' - preencha aquela aba primeiro.</t>
  </si>
  <si>
    <t xml:space="preserve">Rodou sem alteração (%)</t>
  </si>
  <si>
    <t xml:space="preserve">Media correcoes manuais</t>
  </si>
  <si>
    <t xml:space="preserve">Completude media</t>
  </si>
  <si>
    <t xml:space="preserve">ESLint original (média por execução)</t>
  </si>
  <si>
    <t xml:space="preserve">Boas praticas media</t>
  </si>
  <si>
    <t xml:space="preserve">Seguranca media (nivel 4)</t>
  </si>
  <si>
    <t xml:space="preserve">Execuções sem alteração (de 15)</t>
  </si>
  <si>
    <t xml:space="preserve">Total de correções</t>
  </si>
  <si>
    <t xml:space="preserve">Problemas ESLint por 100 linhas (reexecução)</t>
  </si>
  <si>
    <t xml:space="preserve">Linhas JS por execução (média)</t>
  </si>
  <si>
    <t xml:space="preserve">Tokens de saída por execução (média)</t>
  </si>
  <si>
    <t xml:space="preserve">Resumo por nível da escada (responde à pergunta de pesquisa: efeito da complexidade)</t>
  </si>
  <si>
    <t xml:space="preserve">Calculado a partir da aba 'Avaliacao'. Boas práticas e completude em escala 0-5 (média das três tentativas).</t>
  </si>
  <si>
    <t xml:space="preserve">Nível</t>
  </si>
  <si>
    <t xml:space="preserve">Completude média</t>
  </si>
  <si>
    <t xml:space="preserve">Boas práticas — Claude</t>
  </si>
  <si>
    <t xml:space="preserve">Boas práticas — GPT</t>
  </si>
  <si>
    <t xml:space="preserve">Boas práticas — Gemini</t>
  </si>
  <si>
    <t xml:space="preserve">Boas práticas — GPT-OSS</t>
  </si>
  <si>
    <t xml:space="preserve">Boas práticas — média</t>
  </si>
  <si>
    <t xml:space="preserve">Problemas ESLint por 100 linhas</t>
  </si>
  <si>
    <t xml:space="preserve">Correções manuais (total)</t>
  </si>
  <si>
    <t xml:space="preserve">Revisão de 28/09/2026 — notas alteradas, valor original e regra aplicada</t>
  </si>
  <si>
    <t xml:space="preserve">Regras aplicadas igualmente às 60 execuções: completude parte de 5 e perde 1 ponto por requisito do prompt não atendido (interface de entrada, porta, modelo de dados e 400 ou 409 para duplicidade não são fixados pelo prompt); correção = qualquer alteração nos arquivos gerados para rodar (falha do extrator não conta); segurança = soma de cinco aspectos (0; 0,5; 1). ESLint reexecutado com configuração publicada em analise/.</t>
  </si>
  <si>
    <t xml:space="preserve">Execução</t>
  </si>
  <si>
    <t xml:space="preserve">Campo</t>
  </si>
  <si>
    <t xml:space="preserve">Original</t>
  </si>
  <si>
    <t xml:space="preserve">Revisado</t>
  </si>
  <si>
    <t xml:space="preserve">Motivo / regra</t>
  </si>
  <si>
    <t xml:space="preserve">nivel0-gemini-t1</t>
  </si>
  <si>
    <t xml:space="preserve">Completude</t>
  </si>
  <si>
    <t xml:space="preserve">O prompt não fixa a interface de entrada (argumento ou modo interativo); a mesma escolha teve nota 5 no GPT-OSS (nível 0, t1 e t2) e no Gemini t3.</t>
  </si>
  <si>
    <t xml:space="preserve">Boas práticas</t>
  </si>
  <si>
    <t xml:space="preserve">A nota refletia só a interface de entrada (ver completude); código equivalente ao da t3, que teve 5.</t>
  </si>
  <si>
    <t xml:space="preserve">nivel0-gemini-t2</t>
  </si>
  <si>
    <t xml:space="preserve">A nota refletia só a interface de entrada; o código escapa aspas no CSV e trata erro de escrita, como a t3 (nota 5).</t>
  </si>
  <si>
    <t xml:space="preserve">nivel2-gemini-t1</t>
  </si>
  <si>
    <t xml:space="preserve">Porta fixa e status 400 para e-mail duplicado não são requisitos do prompt; 400 foi aceito no GPT-OSS (nível 2, t2), no Gemini (nível 3) e no GPT (nível 4). A porta fixa continua pesando em boas práticas, como nos demais.</t>
  </si>
  <si>
    <t xml:space="preserve">nivel2-gemini-t2</t>
  </si>
  <si>
    <t xml:space="preserve">Mantida a perda de 1 ponto por não entregar o package.json (restrição 'entregue todos os arquivos necessários'); porta fixa e status 400 deixam de contar.</t>
  </si>
  <si>
    <t xml:space="preserve">nivel4-claude-t1</t>
  </si>
  <si>
    <t xml:space="preserve">Separar as contas de login dos registros (tabela records com owner_id) é leitura válida do prompt, a mesma do Claude t3 e do GPT-OSS t1 (items) e t3 (profiles), que tiveram nota 5; é também o que a OWASP recomenda para controle de acesso por posse.</t>
  </si>
  <si>
    <t xml:space="preserve">nivel4-claude-t2</t>
  </si>
  <si>
    <t xml:space="preserve">nivel1-gemini-t1</t>
  </si>
  <si>
    <t xml:space="preserve">Correções manuais</t>
  </si>
  <si>
    <t xml:space="preserve">better-sqlite3 ^9.4.3 precisou subir para ^12.2.0 para instalar; a mesma alteração conta como correção no GPT-OSS (nível 1, t2 e t3). Regra única: qualquer alteração nos arquivos gerados é correção.</t>
  </si>
  <si>
    <t xml:space="preserve">nivel1-gemini-t2</t>
  </si>
  <si>
    <t xml:space="preserve">nivel4-groq-t1</t>
  </si>
  <si>
    <t xml:space="preserve">O db/schema.sql está na resposta (seção '4️⃣ Script de criação do banco'); quem falhou foi o extrator, não o modelo. Mantida a correção do dotenv ausente no package.json.</t>
  </si>
  <si>
    <t xml:space="preserve">em branco</t>
  </si>
  <si>
    <t xml:space="preserve">Nota ausente; atribuída na revisão pela rubrica do Quadro 3: módulos separados (app, db, rotas, middleware), trata 400/401/404/409/500 e valida campos obrigatórios; devolve err.message em erros 500.</t>
  </si>
  <si>
    <t xml:space="preserve">Segurança</t>
  </si>
  <si>
    <t xml:space="preserve">Nota passa a ser a soma dos cinco aspectos do Quadro 4 (0; 0,5; 1 cada), aplicada igualmente às 12 execuções; ver colunas U a Y.</t>
  </si>
  <si>
    <t xml:space="preserve">nivel4-claude-t3</t>
  </si>
  <si>
    <t xml:space="preserve">nivel4-gemini-t1</t>
  </si>
  <si>
    <t xml:space="preserve">nivel4-gemini-t2</t>
  </si>
  <si>
    <t xml:space="preserve">nivel4-gemini-t3</t>
  </si>
  <si>
    <t xml:space="preserve">nivel4-groq-t2</t>
  </si>
  <si>
    <t xml:space="preserve">nivel4-groq-t3</t>
  </si>
  <si>
    <t xml:space="preserve">Também revistos: 'Rodou sem alteração' passa a ser fórmula (S só quando não houve correção), o que muda para N as execuções do GPT-OSS com correção e as duas do Gemini no nível 1; 'Modelo' passa a mostrar o identificador pedido (o Gemini foi chamado pelo alias gemini-pro-latest nas tentativas 1 e 2); 'Arquivo' aponta para os nomes atuais em outputs/. As contagens originais do ESLint ficam na coluna J; as novas (P a R) vêm de analise/eslint.mjs.</t>
  </si>
  <si>
    <t xml:space="preserve">Tentativas 1 e 2 do Gemini refeitas em 28/09/2026</t>
  </si>
  <si>
    <t xml:space="preserve">Na coleta original, as tentativas 1 e 2 do Gemini chamaram o alias gemini-pro-latest, sem registro da versão resolvida. As dez execuções foram refeitas com o identificador fixo gemini-3.1-pro-preview e a mesma configuração da tentativa 3 (temperatura 0,2, orçamento de raciocínio de 2.048 tokens, teto de 16.000), e a API registrou a versão resolvida (gemini-3.1-pro-preview) em todas. As respostas originais estão em outputs/substituidas/; o registro das chamadas, em outputs/run-log-gemini-2026-09-28.csv. As novas foram avaliadas pelas mesmas regras; abaixo, as notas que mudaram. Tamanhos, linhas, problemas do ESLint e tokens foram recalculados (a contagem original do ESLint, coluna J, não se aplica). As linhas da seção anterior sobre as tentativas 1 e 2 do Gemini (completude nos níveis 0 e 2, boas práticas no nível 0, correções no nível 1 e segurança no nível 4) referem-se às respostas originais, hoje em outputs/substituidas/.</t>
  </si>
  <si>
    <t xml:space="preserve">Refeita</t>
  </si>
  <si>
    <t xml:space="preserve">Observação</t>
  </si>
  <si>
    <t xml:space="preserve">A nova resposta usa o pacote sqlite3, que instala sem alteração; a original exigia subir o better-sqlite3 de ^9.4.3 para ^12.2.0.</t>
  </si>
  <si>
    <t xml:space="preserve">A nova resposta entrega o package.json, que a original omitia (restrição 'entregue todos os arquivos necessários').</t>
  </si>
  <si>
    <t xml:space="preserve">nivel3-gemini-t2</t>
  </si>
  <si>
    <t xml:space="preserve">Nota da nova resposta pela rubrica do Quadro 3 (ver Observacoes na aba Avaliacao).</t>
  </si>
  <si>
    <t xml:space="preserve">Soma dos cinco aspectos conferidos no código da nova resposta (colunas U a Y).</t>
  </si>
  <si>
    <t xml:space="preserve">Sem mudança de nota nas demais: nível 0 (t1 e t2: completude 5, boas práticas 5), nível 2, t1 (5 e 3) e nível 3, t1 (5 e 3). Em todas as dez, o modelo pedido passa a gemini-3.1-pro-preview e 'Rodou sem alteração' fica 'S'.</t>
  </si>
</sst>
</file>

<file path=xl/styles.xml><?xml version="1.0" encoding="utf-8"?>
<styleSheet xmlns="http://schemas.openxmlformats.org/spreadsheetml/2006/main">
  <numFmts count="4">
    <numFmt numFmtId="164" formatCode="General"/>
    <numFmt numFmtId="165" formatCode="0.00"/>
    <numFmt numFmtId="166" formatCode="0.0"/>
    <numFmt numFmtId="167" formatCode="0"/>
  </numFmts>
  <fonts count="12">
    <font>
      <sz val="11"/>
      <color theme="1"/>
      <name val="Calibri"/>
      <family val="2"/>
      <charset val="1"/>
    </font>
    <font>
      <sz val="10"/>
      <name val="Arial"/>
      <family val="0"/>
    </font>
    <font>
      <sz val="10"/>
      <name val="Arial"/>
      <family val="0"/>
    </font>
    <font>
      <sz val="10"/>
      <name val="Arial"/>
      <family val="0"/>
    </font>
    <font>
      <b val="true"/>
      <sz val="14"/>
      <name val="Arial"/>
      <family val="0"/>
      <charset val="1"/>
    </font>
    <font>
      <i val="true"/>
      <sz val="10"/>
      <color rgb="FF555555"/>
      <name val="Arial"/>
      <family val="0"/>
      <charset val="1"/>
    </font>
    <font>
      <b val="true"/>
      <sz val="10"/>
      <color rgb="FFFFFFFF"/>
      <name val="Arial"/>
      <family val="0"/>
      <charset val="1"/>
    </font>
    <font>
      <sz val="10"/>
      <name val="Arial"/>
      <family val="0"/>
      <charset val="1"/>
    </font>
    <font>
      <b val="true"/>
      <sz val="11"/>
      <name val="Arial"/>
      <family val="0"/>
      <charset val="1"/>
    </font>
    <font>
      <b val="true"/>
      <sz val="10"/>
      <color rgb="FFC00000"/>
      <name val="Arial"/>
      <family val="0"/>
      <charset val="1"/>
    </font>
    <font>
      <b val="true"/>
      <sz val="11"/>
      <color rgb="FF1F4E78"/>
      <name val="Arial"/>
      <family val="0"/>
      <charset val="1"/>
    </font>
    <font>
      <b val="true"/>
      <sz val="12"/>
      <name val="Arial"/>
      <family val="0"/>
      <charset val="1"/>
    </font>
  </fonts>
  <fills count="8">
    <fill>
      <patternFill patternType="none"/>
    </fill>
    <fill>
      <patternFill patternType="gray125"/>
    </fill>
    <fill>
      <patternFill patternType="solid">
        <fgColor rgb="FF1F4E78"/>
        <bgColor rgb="FF003366"/>
      </patternFill>
    </fill>
    <fill>
      <patternFill patternType="solid">
        <fgColor rgb="FFFFF2CC"/>
        <bgColor rgb="FFFCE4D6"/>
      </patternFill>
    </fill>
    <fill>
      <patternFill patternType="solid">
        <fgColor rgb="FFF2F2F2"/>
        <bgColor rgb="FFE2EFDA"/>
      </patternFill>
    </fill>
    <fill>
      <patternFill patternType="solid">
        <fgColor rgb="FFE2EFDA"/>
        <bgColor rgb="FFDDEBF7"/>
      </patternFill>
    </fill>
    <fill>
      <patternFill patternType="solid">
        <fgColor rgb="FFDDEBF7"/>
        <bgColor rgb="FFE2EFDA"/>
      </patternFill>
    </fill>
    <fill>
      <patternFill patternType="solid">
        <fgColor rgb="FFFCE4D6"/>
        <bgColor rgb="FFFFF2CC"/>
      </patternFill>
    </fill>
  </fills>
  <borders count="2">
    <border diagonalUp="false" diagonalDown="false">
      <left/>
      <right/>
      <top/>
      <bottom/>
      <diagonal/>
    </border>
    <border diagonalUp="false" diagonalDown="false">
      <left style="thin">
        <color rgb="FFD9D9D9"/>
      </left>
      <right style="thin">
        <color rgb="FFD9D9D9"/>
      </right>
      <top style="thin">
        <color rgb="FFD9D9D9"/>
      </top>
      <bottom style="thin">
        <color rgb="FFD9D9D9"/>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47">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true" applyAlignment="true" applyProtection="false">
      <alignment horizontal="general" vertical="bottom" textRotation="0" wrapText="false" indent="0" shrinkToFit="false"/>
      <protection locked="true" hidden="false"/>
    </xf>
    <xf numFmtId="164" fontId="5" fillId="0" borderId="0" xfId="0" applyFont="true" applyBorder="true" applyAlignment="true" applyProtection="false">
      <alignment horizontal="general" vertical="bottom" textRotation="0" wrapText="false" indent="0" shrinkToFit="false"/>
      <protection locked="true" hidden="false"/>
    </xf>
    <xf numFmtId="164" fontId="6" fillId="2" borderId="0" xfId="0" applyFont="true" applyBorder="false" applyAlignment="true" applyProtection="false">
      <alignment horizontal="general" vertical="bottom" textRotation="0" wrapText="false" indent="0" shrinkToFit="false"/>
      <protection locked="true" hidden="false"/>
    </xf>
    <xf numFmtId="164" fontId="7" fillId="0" borderId="1" xfId="0" applyFont="true" applyBorder="true" applyAlignment="true" applyProtection="false">
      <alignment horizontal="general" vertical="top" textRotation="0" wrapText="true" indent="0" shrinkToFit="false"/>
      <protection locked="true" hidden="false"/>
    </xf>
    <xf numFmtId="164" fontId="8" fillId="0" borderId="0" xfId="0" applyFont="true" applyBorder="false" applyAlignment="true" applyProtection="false">
      <alignment horizontal="general" vertical="bottom" textRotation="0" wrapText="false" indent="0" shrinkToFit="false"/>
      <protection locked="true" hidden="false"/>
    </xf>
    <xf numFmtId="164" fontId="7" fillId="3" borderId="0" xfId="0" applyFont="true" applyBorder="false" applyAlignment="true" applyProtection="false">
      <alignment horizontal="general" vertical="bottom" textRotation="0" wrapText="false" indent="0" shrinkToFit="false"/>
      <protection locked="true" hidden="false"/>
    </xf>
    <xf numFmtId="164" fontId="7" fillId="4" borderId="0" xfId="0" applyFont="true" applyBorder="false" applyAlignment="true" applyProtection="false">
      <alignment horizontal="general" vertical="bottom" textRotation="0" wrapText="false" indent="0" shrinkToFit="false"/>
      <protection locked="true" hidden="false"/>
    </xf>
    <xf numFmtId="164" fontId="7" fillId="5" borderId="0" xfId="0" applyFont="true" applyBorder="false" applyAlignment="true" applyProtection="false">
      <alignment horizontal="general" vertical="bottom" textRotation="0" wrapText="false" indent="0" shrinkToFit="false"/>
      <protection locked="true" hidden="false"/>
    </xf>
    <xf numFmtId="164" fontId="7" fillId="6" borderId="0" xfId="0" applyFont="true" applyBorder="false" applyAlignment="true" applyProtection="false">
      <alignment horizontal="general" vertical="bottom" textRotation="0" wrapText="false" indent="0" shrinkToFit="false"/>
      <protection locked="true" hidden="false"/>
    </xf>
    <xf numFmtId="164" fontId="7" fillId="7" borderId="0" xfId="0" applyFont="true" applyBorder="false" applyAlignment="true" applyProtection="false">
      <alignment horizontal="general" vertical="bottom" textRotation="0" wrapText="false" indent="0" shrinkToFit="false"/>
      <protection locked="true" hidden="false"/>
    </xf>
    <xf numFmtId="164" fontId="9" fillId="0" borderId="0" xfId="0" applyFont="true" applyBorder="false" applyAlignment="true" applyProtection="false">
      <alignment horizontal="general" vertical="bottom" textRotation="0" wrapText="false" indent="0" shrinkToFit="false"/>
      <protection locked="true" hidden="false"/>
    </xf>
    <xf numFmtId="164" fontId="10" fillId="0" borderId="0" xfId="0" applyFont="true" applyBorder="false" applyAlignment="true" applyProtection="false">
      <alignment horizontal="general" vertical="top" textRotation="0" wrapText="true" indent="0" shrinkToFit="false"/>
      <protection locked="true" hidden="false"/>
    </xf>
    <xf numFmtId="164" fontId="6" fillId="2" borderId="1" xfId="0" applyFont="true" applyBorder="true" applyAlignment="true" applyProtection="false">
      <alignment horizontal="center" vertical="center" textRotation="0" wrapText="true" indent="0" shrinkToFit="false"/>
      <protection locked="true" hidden="false"/>
    </xf>
    <xf numFmtId="164" fontId="7" fillId="0" borderId="1" xfId="0" applyFont="true" applyBorder="true" applyAlignment="true" applyProtection="false">
      <alignment horizontal="center" vertical="center" textRotation="0" wrapText="false" indent="0" shrinkToFit="false"/>
      <protection locked="true" hidden="false"/>
    </xf>
    <xf numFmtId="164" fontId="7" fillId="0" borderId="1" xfId="0" applyFont="true" applyBorder="true" applyAlignment="true" applyProtection="false">
      <alignment horizontal="general" vertical="bottom" textRotation="0" wrapText="false" indent="0" shrinkToFit="false"/>
      <protection locked="true" hidden="false"/>
    </xf>
    <xf numFmtId="164" fontId="7" fillId="4" borderId="1" xfId="0" applyFont="true" applyBorder="true" applyAlignment="true" applyProtection="false">
      <alignment horizontal="center" vertical="center" textRotation="0" wrapText="false" indent="0" shrinkToFit="false"/>
      <protection locked="true" hidden="false"/>
    </xf>
    <xf numFmtId="164" fontId="7" fillId="6" borderId="1" xfId="0" applyFont="true" applyBorder="true" applyAlignment="true" applyProtection="false">
      <alignment horizontal="center" vertical="center" textRotation="0" wrapText="false" indent="0" shrinkToFit="false"/>
      <protection locked="true" hidden="false"/>
    </xf>
    <xf numFmtId="164" fontId="7" fillId="4" borderId="1" xfId="0" applyFont="true" applyBorder="true" applyAlignment="true" applyProtection="false">
      <alignment horizontal="general" vertical="bottom" textRotation="0" wrapText="false" indent="0" shrinkToFit="false"/>
      <protection locked="true" hidden="false"/>
    </xf>
    <xf numFmtId="164" fontId="7" fillId="6" borderId="1" xfId="0" applyFont="true" applyBorder="true" applyAlignment="true" applyProtection="false">
      <alignment horizontal="general" vertical="top" textRotation="0" wrapText="true" indent="0" shrinkToFit="false"/>
      <protection locked="true" hidden="false"/>
    </xf>
    <xf numFmtId="165" fontId="7" fillId="4" borderId="1" xfId="0" applyFont="true" applyBorder="true" applyAlignment="true" applyProtection="false">
      <alignment horizontal="center" vertical="center" textRotation="0" wrapText="false" indent="0" shrinkToFit="false"/>
      <protection locked="true" hidden="false"/>
    </xf>
    <xf numFmtId="166" fontId="7" fillId="4" borderId="1" xfId="0" applyFont="true" applyBorder="true" applyAlignment="true" applyProtection="false">
      <alignment horizontal="center" vertical="center" textRotation="0" wrapText="false" indent="0" shrinkToFit="false"/>
      <protection locked="true" hidden="false"/>
    </xf>
    <xf numFmtId="166" fontId="7" fillId="6" borderId="1" xfId="0" applyFont="true" applyBorder="true" applyAlignment="true" applyProtection="false">
      <alignment horizontal="center" vertical="center" textRotation="0" wrapText="false" indent="0" shrinkToFit="false"/>
      <protection locked="true" hidden="false"/>
    </xf>
    <xf numFmtId="164" fontId="7" fillId="6" borderId="0" xfId="0" applyFont="true" applyBorder="false" applyAlignment="true" applyProtection="false">
      <alignment horizontal="center" vertical="center" textRotation="0" wrapText="false" indent="0" shrinkToFit="false"/>
      <protection locked="true" hidden="false"/>
    </xf>
    <xf numFmtId="164" fontId="7" fillId="6" borderId="0" xfId="0" applyFont="true" applyBorder="false" applyAlignment="true" applyProtection="false">
      <alignment horizontal="general" vertical="top" textRotation="0" wrapText="true" indent="0" shrinkToFit="false"/>
      <protection locked="true" hidden="false"/>
    </xf>
    <xf numFmtId="164" fontId="7" fillId="4" borderId="0" xfId="0" applyFont="true" applyBorder="false" applyAlignment="true" applyProtection="false">
      <alignment horizontal="center" vertical="center" textRotation="0" wrapText="false" indent="0" shrinkToFit="false"/>
      <protection locked="true" hidden="false"/>
    </xf>
    <xf numFmtId="165" fontId="7" fillId="4" borderId="0" xfId="0" applyFont="true" applyBorder="false" applyAlignment="true" applyProtection="false">
      <alignment horizontal="center" vertical="center" textRotation="0" wrapText="false" indent="0" shrinkToFit="false"/>
      <protection locked="true" hidden="false"/>
    </xf>
    <xf numFmtId="164" fontId="7" fillId="0" borderId="0" xfId="0" applyFont="true" applyBorder="false" applyAlignment="true" applyProtection="false">
      <alignment horizontal="center" vertical="center" textRotation="0" wrapText="false" indent="0" shrinkToFit="false"/>
      <protection locked="true" hidden="false"/>
    </xf>
    <xf numFmtId="166" fontId="7" fillId="4" borderId="0" xfId="0" applyFont="true" applyBorder="false" applyAlignment="true" applyProtection="false">
      <alignment horizontal="center" vertical="center" textRotation="0" wrapText="false" indent="0" shrinkToFit="false"/>
      <protection locked="true" hidden="false"/>
    </xf>
    <xf numFmtId="166" fontId="7" fillId="6" borderId="0" xfId="0" applyFont="true" applyBorder="false" applyAlignment="true" applyProtection="false">
      <alignment horizontal="center" vertical="center" textRotation="0" wrapText="false" indent="0" shrinkToFit="false"/>
      <protection locked="true" hidden="false"/>
    </xf>
    <xf numFmtId="166" fontId="7" fillId="0" borderId="1" xfId="0" applyFont="true" applyBorder="true" applyAlignment="true" applyProtection="false">
      <alignment horizontal="center" vertical="center" textRotation="0" wrapText="false" indent="0" shrinkToFit="false"/>
      <protection locked="true" hidden="false"/>
    </xf>
    <xf numFmtId="165" fontId="7" fillId="0" borderId="1" xfId="0" applyFont="true" applyBorder="true" applyAlignment="true" applyProtection="false">
      <alignment horizontal="center" vertical="center" textRotation="0" wrapText="false" indent="0" shrinkToFit="false"/>
      <protection locked="true" hidden="false"/>
    </xf>
    <xf numFmtId="167" fontId="7" fillId="0" borderId="1" xfId="0" applyFont="true" applyBorder="true" applyAlignment="true" applyProtection="false">
      <alignment horizontal="general" vertical="bottom" textRotation="0" wrapText="false" indent="0" shrinkToFit="false"/>
      <protection locked="true" hidden="false"/>
    </xf>
    <xf numFmtId="165" fontId="7" fillId="0" borderId="1" xfId="0" applyFont="true" applyBorder="true" applyAlignment="tru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bottom" textRotation="0" wrapText="false" indent="0" shrinkToFit="false"/>
      <protection locked="true" hidden="false"/>
    </xf>
    <xf numFmtId="165" fontId="7" fillId="0" borderId="0" xfId="0" applyFont="true" applyBorder="false" applyAlignment="true" applyProtection="false">
      <alignment horizontal="center" vertical="center" textRotation="0" wrapText="false" indent="0" shrinkToFit="false"/>
      <protection locked="true" hidden="false"/>
    </xf>
    <xf numFmtId="167" fontId="7" fillId="0" borderId="0" xfId="0" applyFont="true" applyBorder="false" applyAlignment="true" applyProtection="false">
      <alignment horizontal="general" vertical="bottom" textRotation="0" wrapText="false" indent="0" shrinkToFit="false"/>
      <protection locked="true" hidden="false"/>
    </xf>
    <xf numFmtId="165" fontId="7" fillId="0" borderId="0" xfId="0" applyFont="true" applyBorder="false" applyAlignment="true" applyProtection="false">
      <alignment horizontal="general" vertical="bottom" textRotation="0" wrapText="false" indent="0" shrinkToFit="false"/>
      <protection locked="true" hidden="false"/>
    </xf>
    <xf numFmtId="164" fontId="11" fillId="0" borderId="0" xfId="0" applyFont="true" applyBorder="true" applyAlignment="true" applyProtection="false">
      <alignment horizontal="general" vertical="bottom" textRotation="0" wrapText="false" indent="0" shrinkToFit="false"/>
      <protection locked="true" hidden="false"/>
    </xf>
    <xf numFmtId="164" fontId="0" fillId="0" borderId="0" xfId="0" applyFont="true" applyBorder="true" applyAlignment="true" applyProtection="false">
      <alignment horizontal="general" vertical="bottom" textRotation="0" wrapText="false" indent="0" shrinkToFit="false"/>
      <protection locked="true" hidden="false"/>
    </xf>
    <xf numFmtId="165" fontId="0" fillId="4" borderId="1" xfId="0" applyFont="false" applyBorder="true" applyAlignment="true" applyProtection="false">
      <alignment horizontal="general" vertical="bottom" textRotation="0" wrapText="false" indent="0" shrinkToFit="false"/>
      <protection locked="true" hidden="false"/>
    </xf>
    <xf numFmtId="167" fontId="0" fillId="4" borderId="1" xfId="0" applyFont="false" applyBorder="true" applyAlignment="true" applyProtection="false">
      <alignment horizontal="general" vertical="bottom" textRotation="0" wrapText="false" indent="0" shrinkToFit="false"/>
      <protection locked="true" hidden="false"/>
    </xf>
    <xf numFmtId="164" fontId="0" fillId="0" borderId="0" xfId="0" applyFont="true" applyBorder="true" applyAlignment="true" applyProtection="false">
      <alignment horizontal="general" vertical="top" textRotation="0" wrapText="true" indent="0" shrinkToFit="false"/>
      <protection locked="true" hidden="false"/>
    </xf>
    <xf numFmtId="164" fontId="6" fillId="2" borderId="0" xfId="0" applyFont="true" applyBorder="false" applyAlignment="true" applyProtection="false">
      <alignment horizontal="general" vertical="center" textRotation="0" wrapText="tru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tru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2CC"/>
      <rgbColor rgb="FFDDEBF7"/>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F2F2F2"/>
      <rgbColor rgb="FFE2EFDA"/>
      <rgbColor rgb="FFFFFF99"/>
      <rgbColor rgb="FF99CCFF"/>
      <rgbColor rgb="FFFF99CC"/>
      <rgbColor rgb="FFCC99FF"/>
      <rgbColor rgb="FFFCE4D6"/>
      <rgbColor rgb="FF3366FF"/>
      <rgbColor rgb="FF33CCCC"/>
      <rgbColor rgb="FF99CC00"/>
      <rgbColor rgb="FFFFCC00"/>
      <rgbColor rgb="FFFF9900"/>
      <rgbColor rgb="FFFF6600"/>
      <rgbColor rgb="FF555555"/>
      <rgbColor rgb="FF969696"/>
      <rgbColor rgb="FF003366"/>
      <rgbColor rgb="FF339966"/>
      <rgbColor rgb="FF003300"/>
      <rgbColor rgb="FF333300"/>
      <rgbColor rgb="FF993300"/>
      <rgbColor rgb="FF993366"/>
      <rgbColor rgb="FF1F4E78"/>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24"/>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34"/>
    <col collapsed="false" customWidth="true" hidden="false" outlineLevel="0" max="2" min="2" style="1" width="110"/>
  </cols>
  <sheetData>
    <row r="1" customFormat="false" ht="17.25" hidden="false" customHeight="true" outlineLevel="0" collapsed="false">
      <c r="A1" s="2" t="s">
        <v>0</v>
      </c>
      <c r="B1" s="2"/>
    </row>
    <row r="2" customFormat="false" ht="15" hidden="false" customHeight="true" outlineLevel="0" collapsed="false">
      <c r="A2" s="3" t="s">
        <v>1</v>
      </c>
      <c r="B2" s="3"/>
    </row>
    <row r="4" customFormat="false" ht="15" hidden="false" customHeight="true" outlineLevel="0" collapsed="false">
      <c r="A4" s="4" t="s">
        <v>2</v>
      </c>
      <c r="B4" s="4" t="s">
        <v>3</v>
      </c>
    </row>
    <row r="5" customFormat="false" ht="33.75" hidden="false" customHeight="true" outlineLevel="0" collapsed="false">
      <c r="A5" s="5" t="s">
        <v>4</v>
      </c>
      <c r="B5" s="5" t="s">
        <v>5</v>
      </c>
    </row>
    <row r="6" customFormat="false" ht="33.75" hidden="false" customHeight="true" outlineLevel="0" collapsed="false">
      <c r="A6" s="5" t="s">
        <v>6</v>
      </c>
      <c r="B6" s="5" t="s">
        <v>7</v>
      </c>
    </row>
    <row r="7" customFormat="false" ht="33.75" hidden="false" customHeight="true" outlineLevel="0" collapsed="false">
      <c r="A7" s="5" t="s">
        <v>8</v>
      </c>
      <c r="B7" s="5" t="s">
        <v>9</v>
      </c>
    </row>
    <row r="8" customFormat="false" ht="33.75" hidden="false" customHeight="true" outlineLevel="0" collapsed="false">
      <c r="A8" s="5" t="s">
        <v>10</v>
      </c>
      <c r="B8" s="5" t="s">
        <v>11</v>
      </c>
    </row>
    <row r="9" customFormat="false" ht="33.75" hidden="false" customHeight="true" outlineLevel="0" collapsed="false">
      <c r="A9" s="5" t="s">
        <v>12</v>
      </c>
      <c r="B9" s="5" t="s">
        <v>13</v>
      </c>
    </row>
    <row r="10" customFormat="false" ht="33.75" hidden="false" customHeight="true" outlineLevel="0" collapsed="false">
      <c r="A10" s="5" t="s">
        <v>14</v>
      </c>
      <c r="B10" s="5" t="s">
        <v>15</v>
      </c>
    </row>
    <row r="11" customFormat="false" ht="33.75" hidden="false" customHeight="true" outlineLevel="0" collapsed="false">
      <c r="A11" s="5" t="s">
        <v>16</v>
      </c>
      <c r="B11" s="5" t="s">
        <v>17</v>
      </c>
    </row>
    <row r="13" customFormat="false" ht="15" hidden="false" customHeight="true" outlineLevel="0" collapsed="false">
      <c r="A13" s="6" t="s">
        <v>18</v>
      </c>
    </row>
    <row r="14" customFormat="false" ht="15" hidden="false" customHeight="true" outlineLevel="0" collapsed="false">
      <c r="A14" s="7" t="s">
        <v>19</v>
      </c>
    </row>
    <row r="15" customFormat="false" ht="15" hidden="false" customHeight="true" outlineLevel="0" collapsed="false">
      <c r="A15" s="8" t="s">
        <v>20</v>
      </c>
    </row>
    <row r="16" customFormat="false" ht="15" hidden="false" customHeight="true" outlineLevel="0" collapsed="false">
      <c r="A16" s="9" t="s">
        <v>21</v>
      </c>
    </row>
    <row r="18" customFormat="false" ht="15" hidden="false" customHeight="true" outlineLevel="0" collapsed="false">
      <c r="A18" s="10" t="s">
        <v>22</v>
      </c>
    </row>
    <row r="19" customFormat="false" ht="15" hidden="false" customHeight="true" outlineLevel="0" collapsed="false">
      <c r="A19" s="11" t="s">
        <v>23</v>
      </c>
    </row>
    <row r="21" customFormat="false" ht="15" hidden="false" customHeight="true" outlineLevel="0" collapsed="false">
      <c r="A21" s="12"/>
    </row>
    <row r="22" customFormat="false" ht="15" hidden="false" customHeight="true" outlineLevel="0" collapsed="false">
      <c r="A22" s="13" t="s">
        <v>24</v>
      </c>
    </row>
    <row r="23" customFormat="false" ht="15" hidden="false" customHeight="true" outlineLevel="0" collapsed="false"/>
    <row r="24" customFormat="false" ht="15" hidden="false" customHeight="true" outlineLevel="0" collapsed="false"/>
  </sheetData>
  <mergeCells count="2">
    <mergeCell ref="A1:B1"/>
    <mergeCell ref="A2:B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6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7"/>
    <col collapsed="false" customWidth="true" hidden="false" outlineLevel="0" max="2" min="2" style="1" width="26"/>
    <col collapsed="false" customWidth="true" hidden="false" outlineLevel="0" max="3" min="3" style="1" width="10"/>
    <col collapsed="false" customWidth="true" hidden="false" outlineLevel="0" max="4" min="4" style="1" width="16"/>
    <col collapsed="false" customWidth="true" hidden="false" outlineLevel="0" max="5" min="5" style="1" width="9"/>
    <col collapsed="false" customWidth="true" hidden="false" outlineLevel="0" max="6" min="6" style="1" width="13"/>
    <col collapsed="false" customWidth="true" hidden="false" outlineLevel="0" max="8" min="7" style="1" width="15"/>
    <col collapsed="false" customWidth="true" hidden="false" outlineLevel="0" max="9" min="9" style="1" width="13"/>
    <col collapsed="false" customWidth="true" hidden="false" outlineLevel="0" max="10" min="10" style="1" width="18"/>
    <col collapsed="false" customWidth="true" hidden="false" outlineLevel="0" max="11" min="11" style="1" width="14"/>
    <col collapsed="false" customWidth="true" hidden="false" outlineLevel="0" max="12" min="12" style="1" width="12"/>
    <col collapsed="false" customWidth="true" hidden="false" outlineLevel="0" max="13" min="13" style="1" width="34"/>
    <col collapsed="false" customWidth="true" hidden="false" outlineLevel="0" max="14" min="14" style="1" width="46"/>
    <col collapsed="false" customWidth="true" hidden="false" outlineLevel="0" max="15" min="15" style="1" width="14"/>
    <col collapsed="false" customWidth="true" hidden="false" outlineLevel="0" max="16" min="16" style="1" width="11"/>
    <col collapsed="false" customWidth="true" hidden="false" outlineLevel="0" max="17" min="17" style="1" width="12"/>
    <col collapsed="false" customWidth="true" hidden="false" outlineLevel="0" max="18" min="18" style="1" width="11"/>
    <col collapsed="false" customWidth="true" hidden="false" outlineLevel="0" max="19" min="19" style="1" width="10"/>
    <col collapsed="false" customWidth="true" hidden="false" outlineLevel="0" max="20" min="20" style="1" width="16"/>
    <col collapsed="false" customWidth="true" hidden="false" outlineLevel="0" max="24" min="21" style="1" width="11"/>
    <col collapsed="false" customWidth="true" hidden="false" outlineLevel="0" max="25" min="25" style="1" width="12"/>
    <col collapsed="false" customWidth="true" hidden="false" outlineLevel="0" max="26" min="26" style="1" width="60"/>
  </cols>
  <sheetData>
    <row r="1" customFormat="false" ht="17.25" hidden="false" customHeight="true" outlineLevel="0" collapsed="false">
      <c r="A1" s="2" t="s">
        <v>25</v>
      </c>
      <c r="B1" s="2"/>
      <c r="C1" s="2"/>
      <c r="D1" s="2"/>
      <c r="E1" s="2"/>
      <c r="F1" s="2"/>
      <c r="G1" s="2"/>
      <c r="H1" s="2"/>
      <c r="I1" s="2"/>
      <c r="J1" s="2"/>
      <c r="K1" s="2"/>
      <c r="L1" s="2"/>
      <c r="M1" s="2"/>
      <c r="N1" s="2"/>
      <c r="O1" s="2"/>
      <c r="P1" s="2"/>
      <c r="Q1" s="2"/>
      <c r="R1" s="2"/>
      <c r="S1" s="2"/>
      <c r="T1" s="2"/>
      <c r="U1" s="2"/>
      <c r="V1" s="2"/>
      <c r="W1" s="2"/>
      <c r="X1" s="2"/>
      <c r="Y1" s="2"/>
      <c r="Z1" s="2"/>
    </row>
    <row r="2" customFormat="false" ht="23.25" hidden="false" customHeight="true" outlineLevel="0" collapsed="false">
      <c r="A2" s="14" t="s">
        <v>26</v>
      </c>
      <c r="B2" s="14" t="s">
        <v>27</v>
      </c>
      <c r="C2" s="14" t="s">
        <v>28</v>
      </c>
      <c r="D2" s="14" t="s">
        <v>29</v>
      </c>
      <c r="E2" s="14" t="s">
        <v>30</v>
      </c>
      <c r="F2" s="14" t="s">
        <v>31</v>
      </c>
      <c r="G2" s="14" t="s">
        <v>4</v>
      </c>
      <c r="H2" s="14" t="s">
        <v>32</v>
      </c>
      <c r="I2" s="14" t="s">
        <v>8</v>
      </c>
      <c r="J2" s="14" t="s">
        <v>33</v>
      </c>
      <c r="K2" s="14" t="s">
        <v>34</v>
      </c>
      <c r="L2" s="14" t="s">
        <v>35</v>
      </c>
      <c r="M2" s="14" t="s">
        <v>16</v>
      </c>
      <c r="N2" s="14" t="s">
        <v>36</v>
      </c>
      <c r="O2" s="14" t="s">
        <v>37</v>
      </c>
      <c r="P2" s="14" t="s">
        <v>38</v>
      </c>
      <c r="Q2" s="14" t="s">
        <v>39</v>
      </c>
      <c r="R2" s="14" t="s">
        <v>40</v>
      </c>
      <c r="S2" s="14" t="s">
        <v>41</v>
      </c>
      <c r="T2" s="14" t="s">
        <v>42</v>
      </c>
      <c r="U2" s="14" t="s">
        <v>43</v>
      </c>
      <c r="V2" s="14" t="s">
        <v>44</v>
      </c>
      <c r="W2" s="14" t="s">
        <v>45</v>
      </c>
      <c r="X2" s="14" t="s">
        <v>46</v>
      </c>
      <c r="Y2" s="14" t="s">
        <v>47</v>
      </c>
      <c r="Z2" s="14" t="s">
        <v>48</v>
      </c>
    </row>
    <row r="3" customFormat="false" ht="15" hidden="false" customHeight="true" outlineLevel="0" collapsed="false">
      <c r="A3" s="15" t="n">
        <v>0</v>
      </c>
      <c r="B3" s="16" t="s">
        <v>49</v>
      </c>
      <c r="C3" s="16" t="s">
        <v>50</v>
      </c>
      <c r="D3" s="16" t="s">
        <v>51</v>
      </c>
      <c r="E3" s="15" t="n">
        <v>1</v>
      </c>
      <c r="F3" s="17" t="n">
        <v>6949</v>
      </c>
      <c r="G3" s="18" t="str">
        <f aca="false">IF(H3=0,"S","N")</f>
        <v>S</v>
      </c>
      <c r="H3" s="18" t="n">
        <v>0</v>
      </c>
      <c r="I3" s="18" t="n">
        <v>5</v>
      </c>
      <c r="J3" s="18" t="n">
        <v>0</v>
      </c>
      <c r="K3" s="18" t="n">
        <v>5</v>
      </c>
      <c r="L3" s="19"/>
      <c r="M3" s="20" t="s">
        <v>52</v>
      </c>
      <c r="N3" s="16" t="s">
        <v>53</v>
      </c>
      <c r="O3" s="17" t="n">
        <v>6949</v>
      </c>
      <c r="P3" s="17" t="n">
        <v>101</v>
      </c>
      <c r="Q3" s="17" t="n">
        <v>0</v>
      </c>
      <c r="R3" s="21" t="n">
        <f aca="false">IF(P3&gt;0,Q3/P3*100,"")</f>
        <v>0</v>
      </c>
      <c r="S3" s="17" t="n">
        <v>3547</v>
      </c>
      <c r="T3" s="17" t="s">
        <v>54</v>
      </c>
      <c r="U3" s="15"/>
      <c r="V3" s="15"/>
      <c r="W3" s="15"/>
      <c r="X3" s="15"/>
      <c r="Y3" s="15"/>
      <c r="Z3" s="20"/>
    </row>
    <row r="4" customFormat="false" ht="15" hidden="false" customHeight="true" outlineLevel="0" collapsed="false">
      <c r="A4" s="15" t="n">
        <v>0</v>
      </c>
      <c r="B4" s="16" t="s">
        <v>49</v>
      </c>
      <c r="C4" s="16" t="s">
        <v>50</v>
      </c>
      <c r="D4" s="16" t="s">
        <v>51</v>
      </c>
      <c r="E4" s="15" t="n">
        <v>2</v>
      </c>
      <c r="F4" s="17" t="n">
        <v>7308</v>
      </c>
      <c r="G4" s="18" t="str">
        <f aca="false">IF(H4=0,"S","N")</f>
        <v>S</v>
      </c>
      <c r="H4" s="18" t="n">
        <v>0</v>
      </c>
      <c r="I4" s="18" t="n">
        <v>5</v>
      </c>
      <c r="J4" s="18" t="n">
        <v>0</v>
      </c>
      <c r="K4" s="18" t="n">
        <v>5</v>
      </c>
      <c r="L4" s="19"/>
      <c r="M4" s="20" t="s">
        <v>55</v>
      </c>
      <c r="N4" s="16" t="s">
        <v>56</v>
      </c>
      <c r="O4" s="17" t="n">
        <v>7308</v>
      </c>
      <c r="P4" s="17" t="n">
        <v>104</v>
      </c>
      <c r="Q4" s="17" t="n">
        <v>0</v>
      </c>
      <c r="R4" s="21" t="n">
        <f aca="false">IF(P4&gt;0,Q4/P4*100,"")</f>
        <v>0</v>
      </c>
      <c r="S4" s="17" t="n">
        <v>3692</v>
      </c>
      <c r="T4" s="17" t="s">
        <v>54</v>
      </c>
      <c r="U4" s="15"/>
      <c r="V4" s="15"/>
      <c r="W4" s="15"/>
      <c r="X4" s="15"/>
      <c r="Y4" s="15"/>
      <c r="Z4" s="20"/>
    </row>
    <row r="5" customFormat="false" ht="15" hidden="false" customHeight="true" outlineLevel="0" collapsed="false">
      <c r="A5" s="15" t="n">
        <v>0</v>
      </c>
      <c r="B5" s="16" t="s">
        <v>49</v>
      </c>
      <c r="C5" s="16" t="s">
        <v>57</v>
      </c>
      <c r="D5" s="16" t="s">
        <v>58</v>
      </c>
      <c r="E5" s="15" t="n">
        <v>1</v>
      </c>
      <c r="F5" s="17" t="n">
        <v>3794</v>
      </c>
      <c r="G5" s="18" t="str">
        <f aca="false">IF(H5=0,"S","N")</f>
        <v>S</v>
      </c>
      <c r="H5" s="18" t="n">
        <v>0</v>
      </c>
      <c r="I5" s="18" t="n">
        <v>5</v>
      </c>
      <c r="J5" s="18" t="n">
        <v>0</v>
      </c>
      <c r="K5" s="18" t="n">
        <v>5</v>
      </c>
      <c r="L5" s="19"/>
      <c r="M5" s="20" t="s">
        <v>59</v>
      </c>
      <c r="N5" s="16" t="s">
        <v>60</v>
      </c>
      <c r="O5" s="17" t="n">
        <v>3794</v>
      </c>
      <c r="P5" s="17" t="n">
        <v>80</v>
      </c>
      <c r="Q5" s="17" t="n">
        <v>0</v>
      </c>
      <c r="R5" s="21" t="n">
        <f aca="false">IF(P5&gt;0,Q5/P5*100,"")</f>
        <v>0</v>
      </c>
      <c r="S5" s="17" t="n">
        <v>1502</v>
      </c>
      <c r="T5" s="17" t="s">
        <v>54</v>
      </c>
      <c r="U5" s="15"/>
      <c r="V5" s="15"/>
      <c r="W5" s="15"/>
      <c r="X5" s="15"/>
      <c r="Y5" s="15"/>
      <c r="Z5" s="20"/>
    </row>
    <row r="6" customFormat="false" ht="15" hidden="false" customHeight="true" outlineLevel="0" collapsed="false">
      <c r="A6" s="15" t="n">
        <v>0</v>
      </c>
      <c r="B6" s="16" t="s">
        <v>49</v>
      </c>
      <c r="C6" s="16" t="s">
        <v>57</v>
      </c>
      <c r="D6" s="16" t="s">
        <v>58</v>
      </c>
      <c r="E6" s="15" t="n">
        <v>2</v>
      </c>
      <c r="F6" s="17" t="n">
        <v>5011</v>
      </c>
      <c r="G6" s="18" t="str">
        <f aca="false">IF(H6=0,"S","N")</f>
        <v>S</v>
      </c>
      <c r="H6" s="18" t="n">
        <v>0</v>
      </c>
      <c r="I6" s="18" t="n">
        <v>5</v>
      </c>
      <c r="J6" s="18" t="n">
        <v>0</v>
      </c>
      <c r="K6" s="18" t="n">
        <v>5</v>
      </c>
      <c r="L6" s="19"/>
      <c r="M6" s="20" t="s">
        <v>61</v>
      </c>
      <c r="N6" s="16" t="s">
        <v>62</v>
      </c>
      <c r="O6" s="17" t="n">
        <v>5011</v>
      </c>
      <c r="P6" s="17" t="n">
        <v>104</v>
      </c>
      <c r="Q6" s="17" t="n">
        <v>0</v>
      </c>
      <c r="R6" s="21" t="n">
        <f aca="false">IF(P6&gt;0,Q6/P6*100,"")</f>
        <v>0</v>
      </c>
      <c r="S6" s="17" t="n">
        <v>1826</v>
      </c>
      <c r="T6" s="17" t="s">
        <v>54</v>
      </c>
      <c r="U6" s="15"/>
      <c r="V6" s="15"/>
      <c r="W6" s="15"/>
      <c r="X6" s="15"/>
      <c r="Y6" s="15"/>
      <c r="Z6" s="20"/>
    </row>
    <row r="7" customFormat="false" ht="15" hidden="false" customHeight="true" outlineLevel="0" collapsed="false">
      <c r="A7" s="15" t="n">
        <v>0</v>
      </c>
      <c r="B7" s="16" t="s">
        <v>49</v>
      </c>
      <c r="C7" s="16" t="s">
        <v>63</v>
      </c>
      <c r="D7" s="16" t="s">
        <v>64</v>
      </c>
      <c r="E7" s="15" t="n">
        <v>1</v>
      </c>
      <c r="F7" s="17" t="n">
        <v>3752</v>
      </c>
      <c r="G7" s="18" t="str">
        <f aca="false">IF(H7=0,"S","N")</f>
        <v>S</v>
      </c>
      <c r="H7" s="18" t="n">
        <v>0</v>
      </c>
      <c r="I7" s="18" t="n">
        <v>5</v>
      </c>
      <c r="J7" s="18" t="s">
        <v>65</v>
      </c>
      <c r="K7" s="18" t="n">
        <v>5</v>
      </c>
      <c r="L7" s="19"/>
      <c r="M7" s="20" t="s">
        <v>66</v>
      </c>
      <c r="N7" s="16" t="s">
        <v>67</v>
      </c>
      <c r="O7" s="17" t="n">
        <v>3752</v>
      </c>
      <c r="P7" s="17" t="n">
        <v>36</v>
      </c>
      <c r="Q7" s="17" t="n">
        <v>0</v>
      </c>
      <c r="R7" s="21" t="n">
        <f aca="false">IF(P7&gt;0,Q7/P7*100,"")</f>
        <v>0</v>
      </c>
      <c r="S7" s="17" t="n">
        <v>1900</v>
      </c>
      <c r="T7" s="17" t="n">
        <v>0.2</v>
      </c>
      <c r="U7" s="15"/>
      <c r="V7" s="15"/>
      <c r="W7" s="15"/>
      <c r="X7" s="15"/>
      <c r="Y7" s="15"/>
      <c r="Z7" s="20" t="s">
        <v>68</v>
      </c>
    </row>
    <row r="8" customFormat="false" ht="15" hidden="false" customHeight="true" outlineLevel="0" collapsed="false">
      <c r="A8" s="15" t="n">
        <v>0</v>
      </c>
      <c r="B8" s="16" t="s">
        <v>49</v>
      </c>
      <c r="C8" s="16" t="s">
        <v>63</v>
      </c>
      <c r="D8" s="16" t="s">
        <v>64</v>
      </c>
      <c r="E8" s="15" t="n">
        <v>2</v>
      </c>
      <c r="F8" s="17" t="n">
        <v>3391</v>
      </c>
      <c r="G8" s="18" t="str">
        <f aca="false">IF(H8=0,"S","N")</f>
        <v>S</v>
      </c>
      <c r="H8" s="18" t="n">
        <v>0</v>
      </c>
      <c r="I8" s="18" t="n">
        <v>5</v>
      </c>
      <c r="J8" s="18" t="s">
        <v>65</v>
      </c>
      <c r="K8" s="18" t="n">
        <v>5</v>
      </c>
      <c r="L8" s="19"/>
      <c r="M8" s="20" t="s">
        <v>69</v>
      </c>
      <c r="N8" s="16" t="s">
        <v>70</v>
      </c>
      <c r="O8" s="17" t="n">
        <v>3391</v>
      </c>
      <c r="P8" s="17" t="n">
        <v>41</v>
      </c>
      <c r="Q8" s="17" t="n">
        <v>0</v>
      </c>
      <c r="R8" s="21" t="n">
        <f aca="false">IF(P8&gt;0,Q8/P8*100,"")</f>
        <v>0</v>
      </c>
      <c r="S8" s="17" t="n">
        <v>1807</v>
      </c>
      <c r="T8" s="17" t="n">
        <v>0.2</v>
      </c>
      <c r="U8" s="15"/>
      <c r="V8" s="15"/>
      <c r="W8" s="15"/>
      <c r="X8" s="15"/>
      <c r="Y8" s="15"/>
      <c r="Z8" s="20" t="s">
        <v>68</v>
      </c>
    </row>
    <row r="9" customFormat="false" ht="15" hidden="false" customHeight="true" outlineLevel="0" collapsed="false">
      <c r="A9" s="15" t="n">
        <v>1</v>
      </c>
      <c r="B9" s="16" t="s">
        <v>71</v>
      </c>
      <c r="C9" s="16" t="s">
        <v>50</v>
      </c>
      <c r="D9" s="16" t="s">
        <v>51</v>
      </c>
      <c r="E9" s="15" t="n">
        <v>1</v>
      </c>
      <c r="F9" s="17" t="n">
        <v>2976</v>
      </c>
      <c r="G9" s="18" t="str">
        <f aca="false">IF(H9=0,"S","N")</f>
        <v>S</v>
      </c>
      <c r="H9" s="18" t="n">
        <v>0</v>
      </c>
      <c r="I9" s="18" t="n">
        <v>5</v>
      </c>
      <c r="J9" s="18" t="n">
        <v>0</v>
      </c>
      <c r="K9" s="18" t="n">
        <v>5</v>
      </c>
      <c r="L9" s="19"/>
      <c r="M9" s="20" t="s">
        <v>72</v>
      </c>
      <c r="N9" s="16" t="s">
        <v>73</v>
      </c>
      <c r="O9" s="17" t="n">
        <v>15652</v>
      </c>
      <c r="P9" s="17" t="n">
        <v>310</v>
      </c>
      <c r="Q9" s="17" t="n">
        <v>0</v>
      </c>
      <c r="R9" s="21" t="n">
        <f aca="false">IF(P9&gt;0,Q9/P9*100,"")</f>
        <v>0</v>
      </c>
      <c r="S9" s="17" t="n">
        <v>7421</v>
      </c>
      <c r="T9" s="17" t="s">
        <v>54</v>
      </c>
      <c r="U9" s="15"/>
      <c r="V9" s="15"/>
      <c r="W9" s="15"/>
      <c r="X9" s="15"/>
      <c r="Y9" s="15"/>
      <c r="Z9" s="20"/>
    </row>
    <row r="10" customFormat="false" ht="15" hidden="false" customHeight="true" outlineLevel="0" collapsed="false">
      <c r="A10" s="15" t="n">
        <v>1</v>
      </c>
      <c r="B10" s="16" t="s">
        <v>71</v>
      </c>
      <c r="C10" s="16" t="s">
        <v>50</v>
      </c>
      <c r="D10" s="16" t="s">
        <v>51</v>
      </c>
      <c r="E10" s="15" t="n">
        <v>2</v>
      </c>
      <c r="F10" s="17" t="n">
        <v>2298</v>
      </c>
      <c r="G10" s="18" t="str">
        <f aca="false">IF(H10=0,"S","N")</f>
        <v>S</v>
      </c>
      <c r="H10" s="18" t="n">
        <v>0</v>
      </c>
      <c r="I10" s="18" t="n">
        <v>5</v>
      </c>
      <c r="J10" s="18" t="n">
        <v>0</v>
      </c>
      <c r="K10" s="18" t="n">
        <v>5</v>
      </c>
      <c r="L10" s="19"/>
      <c r="M10" s="20" t="s">
        <v>74</v>
      </c>
      <c r="N10" s="16" t="s">
        <v>75</v>
      </c>
      <c r="O10" s="17" t="n">
        <v>18120</v>
      </c>
      <c r="P10" s="17" t="n">
        <v>412</v>
      </c>
      <c r="Q10" s="17" t="n">
        <v>0</v>
      </c>
      <c r="R10" s="21" t="n">
        <f aca="false">IF(P10&gt;0,Q10/P10*100,"")</f>
        <v>0</v>
      </c>
      <c r="S10" s="17" t="n">
        <v>8660</v>
      </c>
      <c r="T10" s="17" t="s">
        <v>54</v>
      </c>
      <c r="U10" s="15"/>
      <c r="V10" s="15"/>
      <c r="W10" s="15"/>
      <c r="X10" s="15"/>
      <c r="Y10" s="15"/>
      <c r="Z10" s="20"/>
    </row>
    <row r="11" customFormat="false" ht="15" hidden="false" customHeight="true" outlineLevel="0" collapsed="false">
      <c r="A11" s="15" t="n">
        <v>1</v>
      </c>
      <c r="B11" s="16" t="s">
        <v>71</v>
      </c>
      <c r="C11" s="16" t="s">
        <v>57</v>
      </c>
      <c r="D11" s="16" t="s">
        <v>58</v>
      </c>
      <c r="E11" s="15" t="n">
        <v>1</v>
      </c>
      <c r="F11" s="17" t="n">
        <v>20478</v>
      </c>
      <c r="G11" s="18" t="str">
        <f aca="false">IF(H11=0,"S","N")</f>
        <v>S</v>
      </c>
      <c r="H11" s="18" t="n">
        <v>0</v>
      </c>
      <c r="I11" s="18" t="n">
        <v>5</v>
      </c>
      <c r="J11" s="18" t="n">
        <v>0</v>
      </c>
      <c r="K11" s="18" t="n">
        <v>5</v>
      </c>
      <c r="L11" s="19"/>
      <c r="M11" s="20" t="s">
        <v>76</v>
      </c>
      <c r="N11" s="16" t="s">
        <v>77</v>
      </c>
      <c r="O11" s="17" t="n">
        <v>20478</v>
      </c>
      <c r="P11" s="17" t="n">
        <v>572</v>
      </c>
      <c r="Q11" s="17" t="n">
        <v>0</v>
      </c>
      <c r="R11" s="21" t="n">
        <f aca="false">IF(P11&gt;0,Q11/P11*100,"")</f>
        <v>0</v>
      </c>
      <c r="S11" s="17" t="n">
        <v>6899</v>
      </c>
      <c r="T11" s="17" t="s">
        <v>54</v>
      </c>
      <c r="U11" s="15"/>
      <c r="V11" s="15"/>
      <c r="W11" s="15"/>
      <c r="X11" s="15"/>
      <c r="Y11" s="15"/>
      <c r="Z11" s="20"/>
    </row>
    <row r="12" customFormat="false" ht="15" hidden="false" customHeight="true" outlineLevel="0" collapsed="false">
      <c r="A12" s="15" t="n">
        <v>1</v>
      </c>
      <c r="B12" s="16" t="s">
        <v>71</v>
      </c>
      <c r="C12" s="16" t="s">
        <v>57</v>
      </c>
      <c r="D12" s="16" t="s">
        <v>58</v>
      </c>
      <c r="E12" s="15" t="n">
        <v>2</v>
      </c>
      <c r="F12" s="17" t="n">
        <v>19878</v>
      </c>
      <c r="G12" s="18" t="str">
        <f aca="false">IF(H12=0,"S","N")</f>
        <v>S</v>
      </c>
      <c r="H12" s="18" t="n">
        <v>0</v>
      </c>
      <c r="I12" s="18" t="n">
        <v>5</v>
      </c>
      <c r="J12" s="18" t="n">
        <v>0</v>
      </c>
      <c r="K12" s="18" t="n">
        <v>5</v>
      </c>
      <c r="L12" s="19"/>
      <c r="M12" s="20" t="s">
        <v>78</v>
      </c>
      <c r="N12" s="16" t="s">
        <v>79</v>
      </c>
      <c r="O12" s="17" t="n">
        <v>19878</v>
      </c>
      <c r="P12" s="17" t="n">
        <v>514</v>
      </c>
      <c r="Q12" s="17" t="n">
        <v>0</v>
      </c>
      <c r="R12" s="21" t="n">
        <f aca="false">IF(P12&gt;0,Q12/P12*100,"")</f>
        <v>0</v>
      </c>
      <c r="S12" s="17" t="n">
        <v>6264</v>
      </c>
      <c r="T12" s="17" t="s">
        <v>54</v>
      </c>
      <c r="U12" s="15"/>
      <c r="V12" s="15"/>
      <c r="W12" s="15"/>
      <c r="X12" s="15"/>
      <c r="Y12" s="15"/>
      <c r="Z12" s="20"/>
    </row>
    <row r="13" customFormat="false" ht="15" hidden="false" customHeight="true" outlineLevel="0" collapsed="false">
      <c r="A13" s="15" t="n">
        <v>1</v>
      </c>
      <c r="B13" s="16" t="s">
        <v>71</v>
      </c>
      <c r="C13" s="16" t="s">
        <v>63</v>
      </c>
      <c r="D13" s="16" t="s">
        <v>64</v>
      </c>
      <c r="E13" s="15" t="n">
        <v>1</v>
      </c>
      <c r="F13" s="17" t="n">
        <v>8307</v>
      </c>
      <c r="G13" s="18" t="str">
        <f aca="false">IF(H13=0,"S","N")</f>
        <v>S</v>
      </c>
      <c r="H13" s="18" t="n">
        <v>0</v>
      </c>
      <c r="I13" s="18" t="n">
        <v>5</v>
      </c>
      <c r="J13" s="18" t="s">
        <v>65</v>
      </c>
      <c r="K13" s="18" t="n">
        <v>4</v>
      </c>
      <c r="L13" s="19"/>
      <c r="M13" s="20" t="s">
        <v>80</v>
      </c>
      <c r="N13" s="16" t="s">
        <v>81</v>
      </c>
      <c r="O13" s="17" t="n">
        <v>8307</v>
      </c>
      <c r="P13" s="17" t="n">
        <v>162</v>
      </c>
      <c r="Q13" s="17" t="n">
        <v>0</v>
      </c>
      <c r="R13" s="21" t="n">
        <f aca="false">IF(P13&gt;0,Q13/P13*100,"")</f>
        <v>0</v>
      </c>
      <c r="S13" s="17" t="n">
        <v>4028</v>
      </c>
      <c r="T13" s="17" t="n">
        <v>0.2</v>
      </c>
      <c r="U13" s="15"/>
      <c r="V13" s="15"/>
      <c r="W13" s="15"/>
      <c r="X13" s="15"/>
      <c r="Y13" s="15"/>
      <c r="Z13" s="20" t="s">
        <v>68</v>
      </c>
    </row>
    <row r="14" customFormat="false" ht="15" hidden="false" customHeight="true" outlineLevel="0" collapsed="false">
      <c r="A14" s="15" t="n">
        <v>1</v>
      </c>
      <c r="B14" s="16" t="s">
        <v>71</v>
      </c>
      <c r="C14" s="16" t="s">
        <v>63</v>
      </c>
      <c r="D14" s="16" t="s">
        <v>64</v>
      </c>
      <c r="E14" s="15" t="n">
        <v>2</v>
      </c>
      <c r="F14" s="17" t="n">
        <v>8618</v>
      </c>
      <c r="G14" s="18" t="str">
        <f aca="false">IF(H14=0,"S","N")</f>
        <v>S</v>
      </c>
      <c r="H14" s="18" t="n">
        <v>0</v>
      </c>
      <c r="I14" s="18" t="n">
        <v>5</v>
      </c>
      <c r="J14" s="18" t="s">
        <v>65</v>
      </c>
      <c r="K14" s="18" t="n">
        <v>4</v>
      </c>
      <c r="L14" s="19"/>
      <c r="M14" s="20" t="s">
        <v>82</v>
      </c>
      <c r="N14" s="16" t="s">
        <v>83</v>
      </c>
      <c r="O14" s="17" t="n">
        <v>8618</v>
      </c>
      <c r="P14" s="17" t="n">
        <v>198</v>
      </c>
      <c r="Q14" s="17" t="n">
        <v>0</v>
      </c>
      <c r="R14" s="21" t="n">
        <f aca="false">IF(P14&gt;0,Q14/P14*100,"")</f>
        <v>0</v>
      </c>
      <c r="S14" s="17" t="n">
        <v>3696</v>
      </c>
      <c r="T14" s="17" t="n">
        <v>0.2</v>
      </c>
      <c r="U14" s="15"/>
      <c r="V14" s="15"/>
      <c r="W14" s="15"/>
      <c r="X14" s="15"/>
      <c r="Y14" s="15"/>
      <c r="Z14" s="20" t="s">
        <v>68</v>
      </c>
    </row>
    <row r="15" customFormat="false" ht="15" hidden="false" customHeight="true" outlineLevel="0" collapsed="false">
      <c r="A15" s="15" t="n">
        <v>2</v>
      </c>
      <c r="B15" s="16" t="s">
        <v>84</v>
      </c>
      <c r="C15" s="16" t="s">
        <v>50</v>
      </c>
      <c r="D15" s="16" t="s">
        <v>51</v>
      </c>
      <c r="E15" s="15" t="n">
        <v>1</v>
      </c>
      <c r="F15" s="17" t="n">
        <v>3560</v>
      </c>
      <c r="G15" s="18" t="str">
        <f aca="false">IF(H15=0,"S","N")</f>
        <v>S</v>
      </c>
      <c r="H15" s="18" t="n">
        <v>0</v>
      </c>
      <c r="I15" s="18" t="n">
        <v>5</v>
      </c>
      <c r="J15" s="18" t="n">
        <v>1</v>
      </c>
      <c r="K15" s="18" t="n">
        <v>5</v>
      </c>
      <c r="L15" s="19"/>
      <c r="M15" s="20" t="s">
        <v>85</v>
      </c>
      <c r="N15" s="16" t="s">
        <v>86</v>
      </c>
      <c r="O15" s="17" t="n">
        <v>7623</v>
      </c>
      <c r="P15" s="17" t="n">
        <v>193</v>
      </c>
      <c r="Q15" s="17" t="n">
        <v>0</v>
      </c>
      <c r="R15" s="21" t="n">
        <f aca="false">IF(P15&gt;0,Q15/P15*100,"")</f>
        <v>0</v>
      </c>
      <c r="S15" s="17" t="s">
        <v>87</v>
      </c>
      <c r="T15" s="17" t="s">
        <v>54</v>
      </c>
      <c r="U15" s="15"/>
      <c r="V15" s="15"/>
      <c r="W15" s="15"/>
      <c r="X15" s="15"/>
      <c r="Y15" s="15"/>
      <c r="Z15" s="20"/>
    </row>
    <row r="16" customFormat="false" ht="15" hidden="false" customHeight="true" outlineLevel="0" collapsed="false">
      <c r="A16" s="15" t="n">
        <v>2</v>
      </c>
      <c r="B16" s="16" t="s">
        <v>84</v>
      </c>
      <c r="C16" s="16" t="s">
        <v>50</v>
      </c>
      <c r="D16" s="16" t="s">
        <v>51</v>
      </c>
      <c r="E16" s="15" t="n">
        <v>2</v>
      </c>
      <c r="F16" s="17" t="n">
        <v>7792</v>
      </c>
      <c r="G16" s="18" t="str">
        <f aca="false">IF(H16=0,"S","N")</f>
        <v>S</v>
      </c>
      <c r="H16" s="18" t="n">
        <v>0</v>
      </c>
      <c r="I16" s="18" t="n">
        <v>5</v>
      </c>
      <c r="J16" s="18" t="n">
        <v>1</v>
      </c>
      <c r="K16" s="18" t="n">
        <v>5</v>
      </c>
      <c r="L16" s="19"/>
      <c r="M16" s="20" t="s">
        <v>88</v>
      </c>
      <c r="N16" s="16" t="s">
        <v>89</v>
      </c>
      <c r="O16" s="17" t="n">
        <v>8289</v>
      </c>
      <c r="P16" s="17" t="n">
        <v>220</v>
      </c>
      <c r="Q16" s="17" t="n">
        <v>0</v>
      </c>
      <c r="R16" s="21" t="n">
        <f aca="false">IF(P16&gt;0,Q16/P16*100,"")</f>
        <v>0</v>
      </c>
      <c r="S16" s="17" t="s">
        <v>87</v>
      </c>
      <c r="T16" s="17" t="s">
        <v>54</v>
      </c>
      <c r="U16" s="15"/>
      <c r="V16" s="15"/>
      <c r="W16" s="15"/>
      <c r="X16" s="15"/>
      <c r="Y16" s="15"/>
      <c r="Z16" s="20"/>
    </row>
    <row r="17" customFormat="false" ht="15" hidden="false" customHeight="true" outlineLevel="0" collapsed="false">
      <c r="A17" s="15" t="n">
        <v>2</v>
      </c>
      <c r="B17" s="16" t="s">
        <v>84</v>
      </c>
      <c r="C17" s="16" t="s">
        <v>57</v>
      </c>
      <c r="D17" s="16" t="s">
        <v>58</v>
      </c>
      <c r="E17" s="15" t="n">
        <v>1</v>
      </c>
      <c r="F17" s="17" t="n">
        <v>14985</v>
      </c>
      <c r="G17" s="18" t="str">
        <f aca="false">IF(H17=0,"S","N")</f>
        <v>S</v>
      </c>
      <c r="H17" s="18" t="n">
        <v>0</v>
      </c>
      <c r="I17" s="18" t="n">
        <v>5</v>
      </c>
      <c r="J17" s="18" t="n">
        <v>0</v>
      </c>
      <c r="K17" s="18" t="n">
        <v>4</v>
      </c>
      <c r="L17" s="19"/>
      <c r="M17" s="20" t="s">
        <v>90</v>
      </c>
      <c r="N17" s="16" t="s">
        <v>91</v>
      </c>
      <c r="O17" s="17" t="n">
        <v>14985</v>
      </c>
      <c r="P17" s="17" t="n">
        <v>389</v>
      </c>
      <c r="Q17" s="17" t="n">
        <v>0</v>
      </c>
      <c r="R17" s="21" t="n">
        <f aca="false">IF(P17&gt;0,Q17/P17*100,"")</f>
        <v>0</v>
      </c>
      <c r="S17" s="17" t="n">
        <v>5019</v>
      </c>
      <c r="T17" s="17" t="s">
        <v>54</v>
      </c>
      <c r="U17" s="15"/>
      <c r="V17" s="15"/>
      <c r="W17" s="15"/>
      <c r="X17" s="15"/>
      <c r="Y17" s="15"/>
      <c r="Z17" s="20"/>
    </row>
    <row r="18" customFormat="false" ht="15" hidden="false" customHeight="true" outlineLevel="0" collapsed="false">
      <c r="A18" s="15" t="n">
        <v>2</v>
      </c>
      <c r="B18" s="16" t="s">
        <v>84</v>
      </c>
      <c r="C18" s="16" t="s">
        <v>57</v>
      </c>
      <c r="D18" s="16" t="s">
        <v>58</v>
      </c>
      <c r="E18" s="15" t="n">
        <v>2</v>
      </c>
      <c r="F18" s="17" t="n">
        <v>17522</v>
      </c>
      <c r="G18" s="18" t="str">
        <f aca="false">IF(H18=0,"S","N")</f>
        <v>S</v>
      </c>
      <c r="H18" s="18" t="n">
        <v>0</v>
      </c>
      <c r="I18" s="18" t="n">
        <v>5</v>
      </c>
      <c r="J18" s="18" t="n">
        <v>1</v>
      </c>
      <c r="K18" s="18" t="n">
        <v>5</v>
      </c>
      <c r="L18" s="19"/>
      <c r="M18" s="20" t="s">
        <v>92</v>
      </c>
      <c r="N18" s="16" t="s">
        <v>93</v>
      </c>
      <c r="O18" s="17" t="n">
        <v>17522</v>
      </c>
      <c r="P18" s="17" t="n">
        <v>486</v>
      </c>
      <c r="Q18" s="17" t="n">
        <v>0</v>
      </c>
      <c r="R18" s="21" t="n">
        <f aca="false">IF(P18&gt;0,Q18/P18*100,"")</f>
        <v>0</v>
      </c>
      <c r="S18" s="17" t="n">
        <v>5584</v>
      </c>
      <c r="T18" s="17" t="s">
        <v>54</v>
      </c>
      <c r="U18" s="15"/>
      <c r="V18" s="15"/>
      <c r="W18" s="15"/>
      <c r="X18" s="15"/>
      <c r="Y18" s="15"/>
      <c r="Z18" s="20"/>
    </row>
    <row r="19" customFormat="false" ht="15" hidden="false" customHeight="true" outlineLevel="0" collapsed="false">
      <c r="A19" s="15" t="n">
        <v>2</v>
      </c>
      <c r="B19" s="16" t="s">
        <v>84</v>
      </c>
      <c r="C19" s="16" t="s">
        <v>63</v>
      </c>
      <c r="D19" s="16" t="s">
        <v>64</v>
      </c>
      <c r="E19" s="15" t="n">
        <v>1</v>
      </c>
      <c r="F19" s="17" t="n">
        <v>6722</v>
      </c>
      <c r="G19" s="18" t="str">
        <f aca="false">IF(H19=0,"S","N")</f>
        <v>S</v>
      </c>
      <c r="H19" s="18" t="n">
        <v>0</v>
      </c>
      <c r="I19" s="18" t="n">
        <v>5</v>
      </c>
      <c r="J19" s="18" t="s">
        <v>65</v>
      </c>
      <c r="K19" s="18" t="n">
        <v>3</v>
      </c>
      <c r="L19" s="19"/>
      <c r="M19" s="20" t="s">
        <v>94</v>
      </c>
      <c r="N19" s="16" t="s">
        <v>95</v>
      </c>
      <c r="O19" s="17" t="n">
        <v>6722</v>
      </c>
      <c r="P19" s="17" t="n">
        <v>131</v>
      </c>
      <c r="Q19" s="17" t="n">
        <v>0</v>
      </c>
      <c r="R19" s="21" t="n">
        <f aca="false">IF(P19&gt;0,Q19/P19*100,"")</f>
        <v>0</v>
      </c>
      <c r="S19" s="17" t="n">
        <v>3274</v>
      </c>
      <c r="T19" s="17" t="n">
        <v>0.2</v>
      </c>
      <c r="U19" s="15"/>
      <c r="V19" s="15"/>
      <c r="W19" s="15"/>
      <c r="X19" s="15"/>
      <c r="Y19" s="15"/>
      <c r="Z19" s="20" t="s">
        <v>68</v>
      </c>
    </row>
    <row r="20" customFormat="false" ht="15" hidden="false" customHeight="true" outlineLevel="0" collapsed="false">
      <c r="A20" s="15" t="n">
        <v>2</v>
      </c>
      <c r="B20" s="16" t="s">
        <v>84</v>
      </c>
      <c r="C20" s="16" t="s">
        <v>63</v>
      </c>
      <c r="D20" s="16" t="s">
        <v>64</v>
      </c>
      <c r="E20" s="15" t="n">
        <v>2</v>
      </c>
      <c r="F20" s="17" t="n">
        <v>7374</v>
      </c>
      <c r="G20" s="18" t="str">
        <f aca="false">IF(H20=0,"S","N")</f>
        <v>S</v>
      </c>
      <c r="H20" s="18" t="n">
        <v>0</v>
      </c>
      <c r="I20" s="18" t="n">
        <v>5</v>
      </c>
      <c r="J20" s="18" t="s">
        <v>65</v>
      </c>
      <c r="K20" s="18" t="n">
        <v>3</v>
      </c>
      <c r="L20" s="19"/>
      <c r="M20" s="20" t="s">
        <v>96</v>
      </c>
      <c r="N20" s="16" t="s">
        <v>97</v>
      </c>
      <c r="O20" s="17" t="n">
        <v>7374</v>
      </c>
      <c r="P20" s="17" t="n">
        <v>129</v>
      </c>
      <c r="Q20" s="17" t="n">
        <v>0</v>
      </c>
      <c r="R20" s="21" t="n">
        <f aca="false">IF(P20&gt;0,Q20/P20*100,"")</f>
        <v>0</v>
      </c>
      <c r="S20" s="17" t="n">
        <v>3494</v>
      </c>
      <c r="T20" s="17" t="n">
        <v>0.2</v>
      </c>
      <c r="U20" s="15"/>
      <c r="V20" s="15"/>
      <c r="W20" s="15"/>
      <c r="X20" s="15"/>
      <c r="Y20" s="15"/>
      <c r="Z20" s="20" t="s">
        <v>68</v>
      </c>
    </row>
    <row r="21" customFormat="false" ht="15" hidden="false" customHeight="true" outlineLevel="0" collapsed="false">
      <c r="A21" s="15" t="n">
        <v>3</v>
      </c>
      <c r="B21" s="16" t="s">
        <v>98</v>
      </c>
      <c r="C21" s="16" t="s">
        <v>50</v>
      </c>
      <c r="D21" s="16" t="s">
        <v>51</v>
      </c>
      <c r="E21" s="15" t="n">
        <v>1</v>
      </c>
      <c r="F21" s="17" t="n">
        <v>17526</v>
      </c>
      <c r="G21" s="18" t="str">
        <f aca="false">IF(H21=0,"S","N")</f>
        <v>S</v>
      </c>
      <c r="H21" s="18" t="n">
        <v>0</v>
      </c>
      <c r="I21" s="18" t="n">
        <v>5</v>
      </c>
      <c r="J21" s="18" t="n">
        <v>0</v>
      </c>
      <c r="K21" s="18" t="n">
        <v>5</v>
      </c>
      <c r="L21" s="19"/>
      <c r="M21" s="20" t="s">
        <v>99</v>
      </c>
      <c r="N21" s="16" t="s">
        <v>100</v>
      </c>
      <c r="O21" s="17" t="n">
        <v>17526</v>
      </c>
      <c r="P21" s="17" t="n">
        <v>302</v>
      </c>
      <c r="Q21" s="17" t="n">
        <v>0</v>
      </c>
      <c r="R21" s="21" t="n">
        <f aca="false">IF(P21&gt;0,Q21/P21*100,"")</f>
        <v>0</v>
      </c>
      <c r="S21" s="17" t="n">
        <v>7900</v>
      </c>
      <c r="T21" s="17" t="s">
        <v>54</v>
      </c>
      <c r="U21" s="15"/>
      <c r="V21" s="15"/>
      <c r="W21" s="15"/>
      <c r="X21" s="15"/>
      <c r="Y21" s="15"/>
      <c r="Z21" s="20"/>
    </row>
    <row r="22" customFormat="false" ht="15" hidden="false" customHeight="true" outlineLevel="0" collapsed="false">
      <c r="A22" s="15" t="n">
        <v>3</v>
      </c>
      <c r="B22" s="16" t="s">
        <v>98</v>
      </c>
      <c r="C22" s="16" t="s">
        <v>50</v>
      </c>
      <c r="D22" s="16" t="s">
        <v>51</v>
      </c>
      <c r="E22" s="15" t="n">
        <v>2</v>
      </c>
      <c r="F22" s="17" t="n">
        <v>17015</v>
      </c>
      <c r="G22" s="18" t="str">
        <f aca="false">IF(H22=0,"S","N")</f>
        <v>S</v>
      </c>
      <c r="H22" s="18" t="n">
        <v>0</v>
      </c>
      <c r="I22" s="18" t="n">
        <v>5</v>
      </c>
      <c r="J22" s="18" t="n">
        <v>0</v>
      </c>
      <c r="K22" s="18" t="n">
        <v>5</v>
      </c>
      <c r="L22" s="19"/>
      <c r="M22" s="20" t="s">
        <v>101</v>
      </c>
      <c r="N22" s="16" t="s">
        <v>102</v>
      </c>
      <c r="O22" s="17" t="n">
        <v>17015</v>
      </c>
      <c r="P22" s="17" t="n">
        <v>315</v>
      </c>
      <c r="Q22" s="17" t="n">
        <v>0</v>
      </c>
      <c r="R22" s="21" t="n">
        <f aca="false">IF(P22&gt;0,Q22/P22*100,"")</f>
        <v>0</v>
      </c>
      <c r="S22" s="17" t="n">
        <v>7777</v>
      </c>
      <c r="T22" s="17" t="s">
        <v>54</v>
      </c>
      <c r="U22" s="15"/>
      <c r="V22" s="15"/>
      <c r="W22" s="15"/>
      <c r="X22" s="15"/>
      <c r="Y22" s="15"/>
      <c r="Z22" s="20"/>
    </row>
    <row r="23" customFormat="false" ht="15" hidden="false" customHeight="true" outlineLevel="0" collapsed="false">
      <c r="A23" s="15" t="n">
        <v>3</v>
      </c>
      <c r="B23" s="16" t="s">
        <v>98</v>
      </c>
      <c r="C23" s="16" t="s">
        <v>57</v>
      </c>
      <c r="D23" s="16" t="s">
        <v>58</v>
      </c>
      <c r="E23" s="15" t="n">
        <v>1</v>
      </c>
      <c r="F23" s="17" t="n">
        <v>30422</v>
      </c>
      <c r="G23" s="18" t="str">
        <f aca="false">IF(H23=0,"S","N")</f>
        <v>S</v>
      </c>
      <c r="H23" s="18" t="n">
        <v>0</v>
      </c>
      <c r="I23" s="18" t="n">
        <v>5</v>
      </c>
      <c r="J23" s="18" t="n">
        <v>0</v>
      </c>
      <c r="K23" s="18" t="n">
        <v>5</v>
      </c>
      <c r="L23" s="19"/>
      <c r="M23" s="20" t="s">
        <v>103</v>
      </c>
      <c r="N23" s="16" t="s">
        <v>104</v>
      </c>
      <c r="O23" s="17" t="n">
        <v>30422</v>
      </c>
      <c r="P23" s="17" t="n">
        <v>631</v>
      </c>
      <c r="Q23" s="17" t="n">
        <v>0</v>
      </c>
      <c r="R23" s="21" t="n">
        <f aca="false">IF(P23&gt;0,Q23/P23*100,"")</f>
        <v>0</v>
      </c>
      <c r="S23" s="17" t="n">
        <v>8433</v>
      </c>
      <c r="T23" s="17" t="s">
        <v>54</v>
      </c>
      <c r="U23" s="15"/>
      <c r="V23" s="15"/>
      <c r="W23" s="15"/>
      <c r="X23" s="15"/>
      <c r="Y23" s="15"/>
      <c r="Z23" s="20"/>
    </row>
    <row r="24" customFormat="false" ht="15" hidden="false" customHeight="true" outlineLevel="0" collapsed="false">
      <c r="A24" s="15" t="n">
        <v>3</v>
      </c>
      <c r="B24" s="16" t="s">
        <v>98</v>
      </c>
      <c r="C24" s="16" t="s">
        <v>57</v>
      </c>
      <c r="D24" s="16" t="s">
        <v>58</v>
      </c>
      <c r="E24" s="15" t="n">
        <v>2</v>
      </c>
      <c r="F24" s="17" t="n">
        <v>30365</v>
      </c>
      <c r="G24" s="18" t="str">
        <f aca="false">IF(H24=0,"S","N")</f>
        <v>S</v>
      </c>
      <c r="H24" s="18" t="n">
        <v>0</v>
      </c>
      <c r="I24" s="18" t="n">
        <v>5</v>
      </c>
      <c r="J24" s="18" t="n">
        <v>1</v>
      </c>
      <c r="K24" s="18" t="n">
        <v>5</v>
      </c>
      <c r="L24" s="19"/>
      <c r="M24" s="20" t="s">
        <v>105</v>
      </c>
      <c r="N24" s="16" t="s">
        <v>106</v>
      </c>
      <c r="O24" s="17" t="n">
        <v>30365</v>
      </c>
      <c r="P24" s="17" t="n">
        <v>582</v>
      </c>
      <c r="Q24" s="17" t="n">
        <v>0</v>
      </c>
      <c r="R24" s="21" t="n">
        <f aca="false">IF(P24&gt;0,Q24/P24*100,"")</f>
        <v>0</v>
      </c>
      <c r="S24" s="17" t="n">
        <v>8442</v>
      </c>
      <c r="T24" s="17" t="s">
        <v>54</v>
      </c>
      <c r="U24" s="15"/>
      <c r="V24" s="15"/>
      <c r="W24" s="15"/>
      <c r="X24" s="15"/>
      <c r="Y24" s="15"/>
      <c r="Z24" s="20"/>
    </row>
    <row r="25" customFormat="false" ht="15" hidden="false" customHeight="true" outlineLevel="0" collapsed="false">
      <c r="A25" s="15" t="n">
        <v>3</v>
      </c>
      <c r="B25" s="16" t="s">
        <v>98</v>
      </c>
      <c r="C25" s="16" t="s">
        <v>63</v>
      </c>
      <c r="D25" s="16" t="s">
        <v>64</v>
      </c>
      <c r="E25" s="15" t="n">
        <v>1</v>
      </c>
      <c r="F25" s="17" t="n">
        <v>11779</v>
      </c>
      <c r="G25" s="18" t="str">
        <f aca="false">IF(H25=0,"S","N")</f>
        <v>S</v>
      </c>
      <c r="H25" s="18" t="n">
        <v>0</v>
      </c>
      <c r="I25" s="18" t="n">
        <v>5</v>
      </c>
      <c r="J25" s="18" t="s">
        <v>65</v>
      </c>
      <c r="K25" s="18" t="n">
        <v>3</v>
      </c>
      <c r="L25" s="19"/>
      <c r="M25" s="20" t="s">
        <v>107</v>
      </c>
      <c r="N25" s="16" t="s">
        <v>108</v>
      </c>
      <c r="O25" s="17" t="n">
        <v>11779</v>
      </c>
      <c r="P25" s="17" t="n">
        <v>160</v>
      </c>
      <c r="Q25" s="17" t="n">
        <v>0</v>
      </c>
      <c r="R25" s="21" t="n">
        <f aca="false">IF(P25&gt;0,Q25/P25*100,"")</f>
        <v>0</v>
      </c>
      <c r="S25" s="17" t="n">
        <v>4501</v>
      </c>
      <c r="T25" s="17" t="n">
        <v>0.2</v>
      </c>
      <c r="U25" s="15"/>
      <c r="V25" s="15"/>
      <c r="W25" s="15"/>
      <c r="X25" s="15"/>
      <c r="Y25" s="15"/>
      <c r="Z25" s="20" t="s">
        <v>68</v>
      </c>
    </row>
    <row r="26" customFormat="false" ht="15" hidden="false" customHeight="true" outlineLevel="0" collapsed="false">
      <c r="A26" s="15" t="n">
        <v>3</v>
      </c>
      <c r="B26" s="16" t="s">
        <v>98</v>
      </c>
      <c r="C26" s="16" t="s">
        <v>63</v>
      </c>
      <c r="D26" s="16" t="s">
        <v>64</v>
      </c>
      <c r="E26" s="15" t="n">
        <v>2</v>
      </c>
      <c r="F26" s="17" t="n">
        <v>10928</v>
      </c>
      <c r="G26" s="18" t="str">
        <f aca="false">IF(H26=0,"S","N")</f>
        <v>S</v>
      </c>
      <c r="H26" s="18" t="n">
        <v>0</v>
      </c>
      <c r="I26" s="18" t="n">
        <v>5</v>
      </c>
      <c r="J26" s="18" t="s">
        <v>65</v>
      </c>
      <c r="K26" s="18" t="n">
        <v>3</v>
      </c>
      <c r="L26" s="19"/>
      <c r="M26" s="20" t="s">
        <v>109</v>
      </c>
      <c r="N26" s="16" t="s">
        <v>110</v>
      </c>
      <c r="O26" s="17" t="n">
        <v>10928</v>
      </c>
      <c r="P26" s="17" t="n">
        <v>169</v>
      </c>
      <c r="Q26" s="17" t="n">
        <v>0</v>
      </c>
      <c r="R26" s="21" t="n">
        <f aca="false">IF(P26&gt;0,Q26/P26*100,"")</f>
        <v>0</v>
      </c>
      <c r="S26" s="17" t="n">
        <v>4326</v>
      </c>
      <c r="T26" s="17" t="n">
        <v>0.2</v>
      </c>
      <c r="U26" s="15"/>
      <c r="V26" s="15"/>
      <c r="W26" s="15"/>
      <c r="X26" s="15"/>
      <c r="Y26" s="15"/>
      <c r="Z26" s="20" t="s">
        <v>68</v>
      </c>
    </row>
    <row r="27" customFormat="false" ht="15" hidden="false" customHeight="true" outlineLevel="0" collapsed="false">
      <c r="A27" s="15" t="n">
        <v>4</v>
      </c>
      <c r="B27" s="16" t="s">
        <v>111</v>
      </c>
      <c r="C27" s="16" t="s">
        <v>50</v>
      </c>
      <c r="D27" s="16" t="s">
        <v>51</v>
      </c>
      <c r="E27" s="15" t="n">
        <v>1</v>
      </c>
      <c r="F27" s="17" t="n">
        <v>24062</v>
      </c>
      <c r="G27" s="18" t="str">
        <f aca="false">IF(H27=0,"S","N")</f>
        <v>S</v>
      </c>
      <c r="H27" s="18" t="n">
        <v>0</v>
      </c>
      <c r="I27" s="18" t="n">
        <v>5</v>
      </c>
      <c r="J27" s="18" t="n">
        <v>6</v>
      </c>
      <c r="K27" s="18" t="n">
        <v>4</v>
      </c>
      <c r="L27" s="22" t="n">
        <f aca="false">SUM(U27:Y27)</f>
        <v>3</v>
      </c>
      <c r="M27" s="20" t="s">
        <v>112</v>
      </c>
      <c r="N27" s="16" t="s">
        <v>113</v>
      </c>
      <c r="O27" s="17" t="n">
        <v>24062</v>
      </c>
      <c r="P27" s="17" t="n">
        <v>453</v>
      </c>
      <c r="Q27" s="17" t="n">
        <v>2</v>
      </c>
      <c r="R27" s="21" t="n">
        <f aca="false">IF(P27&gt;0,Q27/P27*100,"")</f>
        <v>0.441501103752759</v>
      </c>
      <c r="S27" s="17" t="n">
        <v>11939</v>
      </c>
      <c r="T27" s="17" t="s">
        <v>54</v>
      </c>
      <c r="U27" s="23" t="n">
        <v>1</v>
      </c>
      <c r="V27" s="23" t="n">
        <v>0.5</v>
      </c>
      <c r="W27" s="23" t="n">
        <v>0.5</v>
      </c>
      <c r="X27" s="23" t="n">
        <v>0</v>
      </c>
      <c r="Y27" s="23" t="n">
        <v>1</v>
      </c>
      <c r="Z27" s="20" t="s">
        <v>114</v>
      </c>
    </row>
    <row r="28" customFormat="false" ht="15" hidden="false" customHeight="true" outlineLevel="0" collapsed="false">
      <c r="A28" s="15" t="n">
        <v>4</v>
      </c>
      <c r="B28" s="16" t="s">
        <v>111</v>
      </c>
      <c r="C28" s="16" t="s">
        <v>50</v>
      </c>
      <c r="D28" s="16" t="s">
        <v>51</v>
      </c>
      <c r="E28" s="15" t="n">
        <v>2</v>
      </c>
      <c r="F28" s="17" t="n">
        <v>23648</v>
      </c>
      <c r="G28" s="18" t="str">
        <f aca="false">IF(H28=0,"S","N")</f>
        <v>S</v>
      </c>
      <c r="H28" s="18" t="n">
        <v>0</v>
      </c>
      <c r="I28" s="18" t="n">
        <v>5</v>
      </c>
      <c r="J28" s="18" t="n">
        <v>7</v>
      </c>
      <c r="K28" s="18" t="n">
        <v>4</v>
      </c>
      <c r="L28" s="22" t="n">
        <f aca="false">SUM(U28:Y28)</f>
        <v>3</v>
      </c>
      <c r="M28" s="20" t="s">
        <v>115</v>
      </c>
      <c r="N28" s="16" t="s">
        <v>116</v>
      </c>
      <c r="O28" s="17" t="n">
        <v>23648</v>
      </c>
      <c r="P28" s="17" t="n">
        <v>417</v>
      </c>
      <c r="Q28" s="17" t="n">
        <v>3</v>
      </c>
      <c r="R28" s="21" t="n">
        <f aca="false">IF(P28&gt;0,Q28/P28*100,"")</f>
        <v>0.719424460431655</v>
      </c>
      <c r="S28" s="17" t="n">
        <v>11203</v>
      </c>
      <c r="T28" s="17" t="s">
        <v>54</v>
      </c>
      <c r="U28" s="23" t="n">
        <v>1</v>
      </c>
      <c r="V28" s="23" t="n">
        <v>0.5</v>
      </c>
      <c r="W28" s="23" t="n">
        <v>0.5</v>
      </c>
      <c r="X28" s="23" t="n">
        <v>0</v>
      </c>
      <c r="Y28" s="23" t="n">
        <v>1</v>
      </c>
      <c r="Z28" s="20" t="s">
        <v>114</v>
      </c>
    </row>
    <row r="29" customFormat="false" ht="15" hidden="false" customHeight="true" outlineLevel="0" collapsed="false">
      <c r="A29" s="15" t="n">
        <v>4</v>
      </c>
      <c r="B29" s="16" t="s">
        <v>111</v>
      </c>
      <c r="C29" s="16" t="s">
        <v>57</v>
      </c>
      <c r="D29" s="16" t="s">
        <v>58</v>
      </c>
      <c r="E29" s="15" t="n">
        <v>1</v>
      </c>
      <c r="F29" s="17" t="n">
        <v>43514</v>
      </c>
      <c r="G29" s="18" t="str">
        <f aca="false">IF(H29=0,"S","N")</f>
        <v>S</v>
      </c>
      <c r="H29" s="18" t="n">
        <v>0</v>
      </c>
      <c r="I29" s="18" t="n">
        <v>5</v>
      </c>
      <c r="J29" s="18" t="n">
        <v>4</v>
      </c>
      <c r="K29" s="18" t="n">
        <v>5</v>
      </c>
      <c r="L29" s="22" t="n">
        <f aca="false">SUM(U29:Y29)</f>
        <v>5</v>
      </c>
      <c r="M29" s="20" t="s">
        <v>117</v>
      </c>
      <c r="N29" s="16" t="s">
        <v>118</v>
      </c>
      <c r="O29" s="17" t="n">
        <v>43514</v>
      </c>
      <c r="P29" s="17" t="n">
        <v>1038</v>
      </c>
      <c r="Q29" s="17" t="n">
        <v>1</v>
      </c>
      <c r="R29" s="21" t="n">
        <f aca="false">IF(P29&gt;0,Q29/P29*100,"")</f>
        <v>0.0963391136801542</v>
      </c>
      <c r="S29" s="17" t="n">
        <v>12525</v>
      </c>
      <c r="T29" s="17" t="s">
        <v>54</v>
      </c>
      <c r="U29" s="23" t="n">
        <v>1</v>
      </c>
      <c r="V29" s="23" t="n">
        <v>1</v>
      </c>
      <c r="W29" s="23" t="n">
        <v>1</v>
      </c>
      <c r="X29" s="23" t="n">
        <v>1</v>
      </c>
      <c r="Y29" s="23" t="n">
        <v>1</v>
      </c>
      <c r="Z29" s="20"/>
    </row>
    <row r="30" customFormat="false" ht="15" hidden="false" customHeight="true" outlineLevel="0" collapsed="false">
      <c r="A30" s="15" t="n">
        <v>4</v>
      </c>
      <c r="B30" s="16" t="s">
        <v>111</v>
      </c>
      <c r="C30" s="16" t="s">
        <v>57</v>
      </c>
      <c r="D30" s="16" t="s">
        <v>58</v>
      </c>
      <c r="E30" s="15" t="n">
        <v>2</v>
      </c>
      <c r="F30" s="17" t="n">
        <v>47395</v>
      </c>
      <c r="G30" s="18" t="str">
        <f aca="false">IF(H30=0,"S","N")</f>
        <v>S</v>
      </c>
      <c r="H30" s="18" t="n">
        <v>0</v>
      </c>
      <c r="I30" s="18" t="n">
        <v>5</v>
      </c>
      <c r="J30" s="18" t="n">
        <v>1</v>
      </c>
      <c r="K30" s="18" t="n">
        <v>5</v>
      </c>
      <c r="L30" s="22" t="n">
        <f aca="false">SUM(U30:Y30)</f>
        <v>5</v>
      </c>
      <c r="M30" s="20" t="s">
        <v>119</v>
      </c>
      <c r="N30" s="16" t="s">
        <v>120</v>
      </c>
      <c r="O30" s="17" t="n">
        <v>47395</v>
      </c>
      <c r="P30" s="17" t="n">
        <v>1117</v>
      </c>
      <c r="Q30" s="17" t="n">
        <v>0</v>
      </c>
      <c r="R30" s="21" t="n">
        <f aca="false">IF(P30&gt;0,Q30/P30*100,"")</f>
        <v>0</v>
      </c>
      <c r="S30" s="17" t="n">
        <v>13323</v>
      </c>
      <c r="T30" s="17" t="s">
        <v>54</v>
      </c>
      <c r="U30" s="23" t="n">
        <v>1</v>
      </c>
      <c r="V30" s="23" t="n">
        <v>1</v>
      </c>
      <c r="W30" s="23" t="n">
        <v>1</v>
      </c>
      <c r="X30" s="23" t="n">
        <v>1</v>
      </c>
      <c r="Y30" s="23" t="n">
        <v>1</v>
      </c>
      <c r="Z30" s="20"/>
    </row>
    <row r="31" customFormat="false" ht="15" hidden="false" customHeight="true" outlineLevel="0" collapsed="false">
      <c r="A31" s="15" t="n">
        <v>4</v>
      </c>
      <c r="B31" s="16" t="s">
        <v>111</v>
      </c>
      <c r="C31" s="16" t="s">
        <v>63</v>
      </c>
      <c r="D31" s="16" t="s">
        <v>64</v>
      </c>
      <c r="E31" s="15" t="n">
        <v>1</v>
      </c>
      <c r="F31" s="17" t="n">
        <v>13134</v>
      </c>
      <c r="G31" s="18" t="str">
        <f aca="false">IF(H31=0,"S","N")</f>
        <v>S</v>
      </c>
      <c r="H31" s="18" t="n">
        <v>0</v>
      </c>
      <c r="I31" s="18" t="n">
        <v>5</v>
      </c>
      <c r="J31" s="18" t="s">
        <v>65</v>
      </c>
      <c r="K31" s="18" t="n">
        <v>3</v>
      </c>
      <c r="L31" s="22" t="n">
        <f aca="false">SUM(U31:Y31)</f>
        <v>1.5</v>
      </c>
      <c r="M31" s="20" t="s">
        <v>121</v>
      </c>
      <c r="N31" s="16" t="s">
        <v>122</v>
      </c>
      <c r="O31" s="17" t="n">
        <v>13134</v>
      </c>
      <c r="P31" s="17" t="n">
        <v>219</v>
      </c>
      <c r="Q31" s="17" t="n">
        <v>2</v>
      </c>
      <c r="R31" s="21" t="n">
        <f aca="false">IF(P31&gt;0,Q31/P31*100,"")</f>
        <v>0.91324200913242</v>
      </c>
      <c r="S31" s="17" t="n">
        <v>4900</v>
      </c>
      <c r="T31" s="17" t="n">
        <v>0.2</v>
      </c>
      <c r="U31" s="23" t="n">
        <v>1</v>
      </c>
      <c r="V31" s="23" t="n">
        <v>0</v>
      </c>
      <c r="W31" s="23" t="n">
        <v>0.5</v>
      </c>
      <c r="X31" s="23" t="n">
        <v>0</v>
      </c>
      <c r="Y31" s="23" t="n">
        <v>0</v>
      </c>
      <c r="Z31" s="20" t="s">
        <v>68</v>
      </c>
    </row>
    <row r="32" customFormat="false" ht="15" hidden="false" customHeight="true" outlineLevel="0" collapsed="false">
      <c r="A32" s="15" t="n">
        <v>4</v>
      </c>
      <c r="B32" s="16" t="s">
        <v>111</v>
      </c>
      <c r="C32" s="16" t="s">
        <v>63</v>
      </c>
      <c r="D32" s="16" t="s">
        <v>64</v>
      </c>
      <c r="E32" s="15" t="n">
        <v>2</v>
      </c>
      <c r="F32" s="17" t="n">
        <v>14328</v>
      </c>
      <c r="G32" s="18" t="str">
        <f aca="false">IF(H32=0,"S","N")</f>
        <v>S</v>
      </c>
      <c r="H32" s="18" t="n">
        <v>0</v>
      </c>
      <c r="I32" s="18" t="n">
        <v>5</v>
      </c>
      <c r="J32" s="18" t="s">
        <v>65</v>
      </c>
      <c r="K32" s="18" t="n">
        <v>2</v>
      </c>
      <c r="L32" s="22" t="n">
        <f aca="false">SUM(U32:Y32)</f>
        <v>1</v>
      </c>
      <c r="M32" s="20" t="s">
        <v>123</v>
      </c>
      <c r="N32" s="16" t="s">
        <v>124</v>
      </c>
      <c r="O32" s="17" t="n">
        <v>14328</v>
      </c>
      <c r="P32" s="17" t="n">
        <v>119</v>
      </c>
      <c r="Q32" s="17" t="n">
        <v>2</v>
      </c>
      <c r="R32" s="21" t="n">
        <f aca="false">IF(P32&gt;0,Q32/P32*100,"")</f>
        <v>1.68067226890756</v>
      </c>
      <c r="S32" s="17" t="n">
        <v>5483</v>
      </c>
      <c r="T32" s="17" t="n">
        <v>0.2</v>
      </c>
      <c r="U32" s="23" t="n">
        <v>1</v>
      </c>
      <c r="V32" s="23" t="n">
        <v>0</v>
      </c>
      <c r="W32" s="23" t="n">
        <v>0</v>
      </c>
      <c r="X32" s="23" t="n">
        <v>0</v>
      </c>
      <c r="Y32" s="23" t="n">
        <v>0</v>
      </c>
      <c r="Z32" s="20" t="s">
        <v>68</v>
      </c>
    </row>
    <row r="33" customFormat="false" ht="90.75" hidden="false" customHeight="true" outlineLevel="0" collapsed="false">
      <c r="A33" s="24" t="n">
        <v>0</v>
      </c>
      <c r="B33" s="24" t="s">
        <v>49</v>
      </c>
      <c r="C33" s="24" t="s">
        <v>125</v>
      </c>
      <c r="D33" s="24" t="s">
        <v>126</v>
      </c>
      <c r="E33" s="24" t="n">
        <v>1</v>
      </c>
      <c r="F33" s="24" t="n">
        <v>6030</v>
      </c>
      <c r="G33" s="24" t="str">
        <f aca="false">IF(H33=0,"S","N")</f>
        <v>S</v>
      </c>
      <c r="H33" s="24" t="n">
        <v>0</v>
      </c>
      <c r="I33" s="24" t="n">
        <v>5</v>
      </c>
      <c r="J33" s="24" t="n">
        <v>0</v>
      </c>
      <c r="K33" s="24" t="n">
        <v>5</v>
      </c>
      <c r="L33" s="24" t="s">
        <v>127</v>
      </c>
      <c r="M33" s="25" t="s">
        <v>128</v>
      </c>
      <c r="N33" s="1" t="s">
        <v>129</v>
      </c>
      <c r="O33" s="26" t="n">
        <v>6029</v>
      </c>
      <c r="P33" s="26" t="n">
        <v>82</v>
      </c>
      <c r="Q33" s="26" t="n">
        <v>0</v>
      </c>
      <c r="R33" s="27" t="n">
        <f aca="false">IF(P33&gt;0,Q33/P33*100,"")</f>
        <v>0</v>
      </c>
      <c r="S33" s="26" t="n">
        <v>1669</v>
      </c>
      <c r="T33" s="26" t="s">
        <v>54</v>
      </c>
      <c r="U33" s="28"/>
      <c r="V33" s="28"/>
      <c r="W33" s="28"/>
      <c r="X33" s="28"/>
      <c r="Y33" s="28"/>
      <c r="Z33" s="25"/>
    </row>
    <row r="34" customFormat="false" ht="34.5" hidden="false" customHeight="true" outlineLevel="0" collapsed="false">
      <c r="A34" s="24" t="n">
        <v>0</v>
      </c>
      <c r="B34" s="24" t="s">
        <v>49</v>
      </c>
      <c r="C34" s="24" t="s">
        <v>125</v>
      </c>
      <c r="D34" s="24" t="s">
        <v>126</v>
      </c>
      <c r="E34" s="24" t="n">
        <v>2</v>
      </c>
      <c r="F34" s="24" t="n">
        <v>5531</v>
      </c>
      <c r="G34" s="24" t="str">
        <f aca="false">IF(H34=0,"S","N")</f>
        <v>S</v>
      </c>
      <c r="H34" s="24" t="n">
        <v>0</v>
      </c>
      <c r="I34" s="24" t="n">
        <v>5</v>
      </c>
      <c r="J34" s="24" t="n">
        <v>0</v>
      </c>
      <c r="K34" s="24" t="n">
        <v>5</v>
      </c>
      <c r="L34" s="24" t="s">
        <v>127</v>
      </c>
      <c r="M34" s="25" t="s">
        <v>130</v>
      </c>
      <c r="N34" s="1" t="s">
        <v>131</v>
      </c>
      <c r="O34" s="26" t="n">
        <v>5523</v>
      </c>
      <c r="P34" s="26" t="n">
        <v>67</v>
      </c>
      <c r="Q34" s="26" t="n">
        <v>0</v>
      </c>
      <c r="R34" s="27" t="n">
        <f aca="false">IF(P34&gt;0,Q34/P34*100,"")</f>
        <v>0</v>
      </c>
      <c r="S34" s="26" t="n">
        <v>1567</v>
      </c>
      <c r="T34" s="26" t="s">
        <v>54</v>
      </c>
      <c r="U34" s="28"/>
      <c r="V34" s="28"/>
      <c r="W34" s="28"/>
      <c r="X34" s="28"/>
      <c r="Y34" s="28"/>
      <c r="Z34" s="25"/>
    </row>
    <row r="35" customFormat="false" ht="57" hidden="false" customHeight="true" outlineLevel="0" collapsed="false">
      <c r="A35" s="24" t="n">
        <v>1</v>
      </c>
      <c r="B35" s="24" t="s">
        <v>71</v>
      </c>
      <c r="C35" s="24" t="s">
        <v>125</v>
      </c>
      <c r="D35" s="24" t="s">
        <v>126</v>
      </c>
      <c r="E35" s="24" t="n">
        <v>1</v>
      </c>
      <c r="F35" s="24" t="n">
        <v>13346</v>
      </c>
      <c r="G35" s="24" t="str">
        <f aca="false">IF(H35=0,"S","N")</f>
        <v>S</v>
      </c>
      <c r="H35" s="24" t="n">
        <v>0</v>
      </c>
      <c r="I35" s="24" t="n">
        <v>5</v>
      </c>
      <c r="J35" s="24" t="n">
        <v>0</v>
      </c>
      <c r="K35" s="24" t="n">
        <v>5</v>
      </c>
      <c r="L35" s="24" t="s">
        <v>127</v>
      </c>
      <c r="M35" s="25" t="s">
        <v>132</v>
      </c>
      <c r="N35" s="1" t="s">
        <v>133</v>
      </c>
      <c r="O35" s="26" t="n">
        <v>13346</v>
      </c>
      <c r="P35" s="26" t="n">
        <v>285</v>
      </c>
      <c r="Q35" s="26" t="n">
        <v>0</v>
      </c>
      <c r="R35" s="27" t="n">
        <f aca="false">IF(P35&gt;0,Q35/P35*100,"")</f>
        <v>0</v>
      </c>
      <c r="S35" s="26" t="n">
        <v>3409</v>
      </c>
      <c r="T35" s="26" t="s">
        <v>54</v>
      </c>
      <c r="U35" s="28"/>
      <c r="V35" s="28"/>
      <c r="W35" s="28"/>
      <c r="X35" s="28"/>
      <c r="Y35" s="28"/>
      <c r="Z35" s="25"/>
    </row>
    <row r="36" customFormat="false" ht="124.5" hidden="false" customHeight="true" outlineLevel="0" collapsed="false">
      <c r="A36" s="24" t="n">
        <v>1</v>
      </c>
      <c r="B36" s="24" t="s">
        <v>71</v>
      </c>
      <c r="C36" s="24" t="s">
        <v>125</v>
      </c>
      <c r="D36" s="24" t="s">
        <v>126</v>
      </c>
      <c r="E36" s="24" t="n">
        <v>2</v>
      </c>
      <c r="F36" s="24" t="n">
        <v>13965</v>
      </c>
      <c r="G36" s="24" t="str">
        <f aca="false">IF(H36=0,"S","N")</f>
        <v>N</v>
      </c>
      <c r="H36" s="24" t="n">
        <v>2</v>
      </c>
      <c r="I36" s="24" t="n">
        <v>5</v>
      </c>
      <c r="J36" s="24" t="n">
        <v>0</v>
      </c>
      <c r="K36" s="24" t="n">
        <v>4</v>
      </c>
      <c r="L36" s="24" t="s">
        <v>127</v>
      </c>
      <c r="M36" s="25" t="s">
        <v>134</v>
      </c>
      <c r="N36" s="1" t="s">
        <v>135</v>
      </c>
      <c r="O36" s="26" t="n">
        <v>13963</v>
      </c>
      <c r="P36" s="26" t="n">
        <v>343</v>
      </c>
      <c r="Q36" s="26" t="n">
        <v>0</v>
      </c>
      <c r="R36" s="27" t="n">
        <f aca="false">IF(P36&gt;0,Q36/P36*100,"")</f>
        <v>0</v>
      </c>
      <c r="S36" s="26" t="n">
        <v>3620</v>
      </c>
      <c r="T36" s="26" t="s">
        <v>54</v>
      </c>
      <c r="U36" s="28"/>
      <c r="V36" s="28"/>
      <c r="W36" s="28"/>
      <c r="X36" s="28"/>
      <c r="Y36" s="28"/>
      <c r="Z36" s="25" t="s">
        <v>136</v>
      </c>
    </row>
    <row r="37" customFormat="false" ht="68.25" hidden="false" customHeight="true" outlineLevel="0" collapsed="false">
      <c r="A37" s="24" t="n">
        <v>2</v>
      </c>
      <c r="B37" s="24" t="s">
        <v>84</v>
      </c>
      <c r="C37" s="24" t="s">
        <v>125</v>
      </c>
      <c r="D37" s="24" t="s">
        <v>126</v>
      </c>
      <c r="E37" s="24" t="n">
        <v>1</v>
      </c>
      <c r="F37" s="24" t="n">
        <v>11994</v>
      </c>
      <c r="G37" s="24" t="str">
        <f aca="false">IF(H37=0,"S","N")</f>
        <v>N</v>
      </c>
      <c r="H37" s="24" t="n">
        <v>1</v>
      </c>
      <c r="I37" s="24" t="n">
        <v>5</v>
      </c>
      <c r="J37" s="24" t="n">
        <v>2</v>
      </c>
      <c r="K37" s="24" t="n">
        <v>5</v>
      </c>
      <c r="L37" s="24" t="s">
        <v>127</v>
      </c>
      <c r="M37" s="25" t="s">
        <v>137</v>
      </c>
      <c r="N37" s="1" t="s">
        <v>138</v>
      </c>
      <c r="O37" s="26" t="n">
        <v>11993</v>
      </c>
      <c r="P37" s="26" t="n">
        <v>224</v>
      </c>
      <c r="Q37" s="26" t="n">
        <v>1</v>
      </c>
      <c r="R37" s="27" t="n">
        <f aca="false">IF(P37&gt;0,Q37/P37*100,"")</f>
        <v>0.446428571428571</v>
      </c>
      <c r="S37" s="26" t="n">
        <v>3214</v>
      </c>
      <c r="T37" s="26" t="s">
        <v>54</v>
      </c>
      <c r="U37" s="28"/>
      <c r="V37" s="28"/>
      <c r="W37" s="28"/>
      <c r="X37" s="28"/>
      <c r="Y37" s="28"/>
      <c r="Z37" s="25" t="s">
        <v>136</v>
      </c>
    </row>
    <row r="38" customFormat="false" ht="79.5" hidden="false" customHeight="true" outlineLevel="0" collapsed="false">
      <c r="A38" s="24" t="n">
        <v>2</v>
      </c>
      <c r="B38" s="24" t="s">
        <v>84</v>
      </c>
      <c r="C38" s="24" t="s">
        <v>125</v>
      </c>
      <c r="D38" s="24" t="s">
        <v>126</v>
      </c>
      <c r="E38" s="24" t="n">
        <v>2</v>
      </c>
      <c r="F38" s="24" t="n">
        <v>11651</v>
      </c>
      <c r="G38" s="24" t="str">
        <f aca="false">IF(H38=0,"S","N")</f>
        <v>N</v>
      </c>
      <c r="H38" s="24" t="n">
        <v>1</v>
      </c>
      <c r="I38" s="24" t="n">
        <v>5</v>
      </c>
      <c r="J38" s="24" t="n">
        <v>3</v>
      </c>
      <c r="K38" s="24" t="n">
        <v>4</v>
      </c>
      <c r="L38" s="24" t="s">
        <v>127</v>
      </c>
      <c r="M38" s="25" t="s">
        <v>139</v>
      </c>
      <c r="N38" s="1" t="s">
        <v>140</v>
      </c>
      <c r="O38" s="26" t="n">
        <v>11648</v>
      </c>
      <c r="P38" s="26" t="n">
        <v>201</v>
      </c>
      <c r="Q38" s="26" t="n">
        <v>0</v>
      </c>
      <c r="R38" s="27" t="n">
        <f aca="false">IF(P38&gt;0,Q38/P38*100,"")</f>
        <v>0</v>
      </c>
      <c r="S38" s="26" t="n">
        <v>3142</v>
      </c>
      <c r="T38" s="26" t="s">
        <v>54</v>
      </c>
      <c r="U38" s="28"/>
      <c r="V38" s="28"/>
      <c r="W38" s="28"/>
      <c r="X38" s="28"/>
      <c r="Y38" s="28"/>
      <c r="Z38" s="25" t="s">
        <v>136</v>
      </c>
    </row>
    <row r="39" customFormat="false" ht="79.5" hidden="false" customHeight="true" outlineLevel="0" collapsed="false">
      <c r="A39" s="24" t="n">
        <v>3</v>
      </c>
      <c r="B39" s="24" t="s">
        <v>98</v>
      </c>
      <c r="C39" s="24" t="s">
        <v>125</v>
      </c>
      <c r="D39" s="24" t="s">
        <v>126</v>
      </c>
      <c r="E39" s="24" t="n">
        <v>1</v>
      </c>
      <c r="F39" s="24" t="n">
        <v>14221</v>
      </c>
      <c r="G39" s="24" t="str">
        <f aca="false">IF(H39=0,"S","N")</f>
        <v>S</v>
      </c>
      <c r="H39" s="24" t="n">
        <v>0</v>
      </c>
      <c r="I39" s="24" t="n">
        <v>5</v>
      </c>
      <c r="J39" s="24" t="n">
        <v>1</v>
      </c>
      <c r="K39" s="24" t="n">
        <v>5</v>
      </c>
      <c r="L39" s="24" t="s">
        <v>127</v>
      </c>
      <c r="M39" s="25" t="s">
        <v>141</v>
      </c>
      <c r="N39" s="1" t="s">
        <v>142</v>
      </c>
      <c r="O39" s="26" t="n">
        <v>14219</v>
      </c>
      <c r="P39" s="26" t="n">
        <v>302</v>
      </c>
      <c r="Q39" s="26" t="n">
        <v>0</v>
      </c>
      <c r="R39" s="27" t="n">
        <f aca="false">IF(P39&gt;0,Q39/P39*100,"")</f>
        <v>0</v>
      </c>
      <c r="S39" s="26" t="n">
        <v>3950</v>
      </c>
      <c r="T39" s="26" t="s">
        <v>54</v>
      </c>
      <c r="U39" s="28"/>
      <c r="V39" s="28"/>
      <c r="W39" s="28"/>
      <c r="X39" s="28"/>
      <c r="Y39" s="28"/>
      <c r="Z39" s="25"/>
    </row>
    <row r="40" customFormat="false" ht="90.75" hidden="false" customHeight="true" outlineLevel="0" collapsed="false">
      <c r="A40" s="24" t="n">
        <v>3</v>
      </c>
      <c r="B40" s="24" t="s">
        <v>98</v>
      </c>
      <c r="C40" s="24" t="s">
        <v>125</v>
      </c>
      <c r="D40" s="24" t="s">
        <v>126</v>
      </c>
      <c r="E40" s="24" t="n">
        <v>2</v>
      </c>
      <c r="F40" s="24" t="n">
        <v>14567</v>
      </c>
      <c r="G40" s="24" t="str">
        <f aca="false">IF(H40=0,"S","N")</f>
        <v>S</v>
      </c>
      <c r="H40" s="24" t="n">
        <v>0</v>
      </c>
      <c r="I40" s="24" t="n">
        <v>5</v>
      </c>
      <c r="J40" s="24" t="n">
        <v>1</v>
      </c>
      <c r="K40" s="24" t="n">
        <v>4</v>
      </c>
      <c r="L40" s="24" t="s">
        <v>127</v>
      </c>
      <c r="M40" s="25" t="s">
        <v>143</v>
      </c>
      <c r="N40" s="1" t="s">
        <v>144</v>
      </c>
      <c r="O40" s="26" t="n">
        <v>14566</v>
      </c>
      <c r="P40" s="26" t="n">
        <v>342</v>
      </c>
      <c r="Q40" s="26" t="n">
        <v>1</v>
      </c>
      <c r="R40" s="27" t="n">
        <f aca="false">IF(P40&gt;0,Q40/P40*100,"")</f>
        <v>0.292397660818713</v>
      </c>
      <c r="S40" s="26" t="n">
        <v>3996</v>
      </c>
      <c r="T40" s="26" t="s">
        <v>54</v>
      </c>
      <c r="U40" s="28"/>
      <c r="V40" s="28"/>
      <c r="W40" s="28"/>
      <c r="X40" s="28"/>
      <c r="Y40" s="28"/>
      <c r="Z40" s="25"/>
    </row>
    <row r="41" customFormat="false" ht="202.5" hidden="false" customHeight="true" outlineLevel="0" collapsed="false">
      <c r="A41" s="24" t="n">
        <v>4</v>
      </c>
      <c r="B41" s="24" t="s">
        <v>111</v>
      </c>
      <c r="C41" s="24" t="s">
        <v>125</v>
      </c>
      <c r="D41" s="24" t="s">
        <v>126</v>
      </c>
      <c r="E41" s="24" t="n">
        <v>1</v>
      </c>
      <c r="F41" s="24" t="n">
        <v>11772</v>
      </c>
      <c r="G41" s="24" t="str">
        <f aca="false">IF(H41=0,"S","N")</f>
        <v>N</v>
      </c>
      <c r="H41" s="24" t="n">
        <v>1</v>
      </c>
      <c r="I41" s="24" t="n">
        <v>5</v>
      </c>
      <c r="J41" s="24" t="n">
        <v>0</v>
      </c>
      <c r="K41" s="24" t="n">
        <v>4</v>
      </c>
      <c r="L41" s="29" t="n">
        <f aca="false">SUM(U41:Y41)</f>
        <v>3</v>
      </c>
      <c r="M41" s="25" t="s">
        <v>145</v>
      </c>
      <c r="N41" s="1" t="s">
        <v>146</v>
      </c>
      <c r="O41" s="26" t="n">
        <v>11769</v>
      </c>
      <c r="P41" s="26" t="n">
        <v>154</v>
      </c>
      <c r="Q41" s="26" t="n">
        <v>0</v>
      </c>
      <c r="R41" s="27" t="n">
        <f aca="false">IF(P41&gt;0,Q41/P41*100,"")</f>
        <v>0</v>
      </c>
      <c r="S41" s="26" t="n">
        <v>3222</v>
      </c>
      <c r="T41" s="26" t="s">
        <v>54</v>
      </c>
      <c r="U41" s="30" t="n">
        <v>1</v>
      </c>
      <c r="V41" s="30" t="n">
        <v>0.5</v>
      </c>
      <c r="W41" s="30" t="n">
        <v>0.5</v>
      </c>
      <c r="X41" s="30" t="n">
        <v>0</v>
      </c>
      <c r="Y41" s="30" t="n">
        <v>1</v>
      </c>
      <c r="Z41" s="25" t="s">
        <v>147</v>
      </c>
    </row>
    <row r="42" customFormat="false" ht="135.75" hidden="false" customHeight="true" outlineLevel="0" collapsed="false">
      <c r="A42" s="24" t="n">
        <v>4</v>
      </c>
      <c r="B42" s="24" t="s">
        <v>111</v>
      </c>
      <c r="C42" s="24" t="s">
        <v>125</v>
      </c>
      <c r="D42" s="24" t="s">
        <v>126</v>
      </c>
      <c r="E42" s="24" t="n">
        <v>2</v>
      </c>
      <c r="F42" s="24" t="n">
        <v>14388</v>
      </c>
      <c r="G42" s="24" t="str">
        <f aca="false">IF(H42=0,"S","N")</f>
        <v>S</v>
      </c>
      <c r="H42" s="24" t="n">
        <v>0</v>
      </c>
      <c r="I42" s="24" t="n">
        <v>5</v>
      </c>
      <c r="J42" s="24" t="n">
        <v>1</v>
      </c>
      <c r="K42" s="24" t="n">
        <v>3</v>
      </c>
      <c r="L42" s="29" t="n">
        <f aca="false">SUM(U42:Y42)</f>
        <v>2.5</v>
      </c>
      <c r="M42" s="25" t="s">
        <v>148</v>
      </c>
      <c r="N42" s="1" t="s">
        <v>149</v>
      </c>
      <c r="O42" s="26" t="n">
        <v>14385</v>
      </c>
      <c r="P42" s="26" t="n">
        <v>304</v>
      </c>
      <c r="Q42" s="26" t="n">
        <v>1</v>
      </c>
      <c r="R42" s="27" t="n">
        <f aca="false">IF(P42&gt;0,Q42/P42*100,"")</f>
        <v>0.328947368421053</v>
      </c>
      <c r="S42" s="26" t="n">
        <v>3882</v>
      </c>
      <c r="T42" s="26" t="s">
        <v>54</v>
      </c>
      <c r="U42" s="30" t="n">
        <v>1</v>
      </c>
      <c r="V42" s="30" t="n">
        <v>0.5</v>
      </c>
      <c r="W42" s="30" t="n">
        <v>0</v>
      </c>
      <c r="X42" s="30" t="n">
        <v>0</v>
      </c>
      <c r="Y42" s="30" t="n">
        <v>1</v>
      </c>
      <c r="Z42" s="25" t="s">
        <v>150</v>
      </c>
    </row>
    <row r="43" customFormat="false" ht="45.75" hidden="false" customHeight="true" outlineLevel="0" collapsed="false">
      <c r="A43" s="24" t="n">
        <v>0</v>
      </c>
      <c r="B43" s="24" t="s">
        <v>49</v>
      </c>
      <c r="C43" s="24" t="s">
        <v>50</v>
      </c>
      <c r="D43" s="24" t="s">
        <v>51</v>
      </c>
      <c r="E43" s="24" t="n">
        <v>3</v>
      </c>
      <c r="F43" s="24" t="n">
        <v>16348</v>
      </c>
      <c r="G43" s="24" t="str">
        <f aca="false">IF(H43=0,"S","N")</f>
        <v>S</v>
      </c>
      <c r="H43" s="24" t="n">
        <v>0</v>
      </c>
      <c r="I43" s="24" t="n">
        <v>5</v>
      </c>
      <c r="J43" s="24" t="n">
        <v>0</v>
      </c>
      <c r="K43" s="24" t="n">
        <v>5</v>
      </c>
      <c r="L43" s="24" t="s">
        <v>127</v>
      </c>
      <c r="M43" s="25" t="s">
        <v>151</v>
      </c>
      <c r="N43" s="1" t="s">
        <v>152</v>
      </c>
      <c r="O43" s="26" t="n">
        <v>8174</v>
      </c>
      <c r="P43" s="26" t="n">
        <v>118</v>
      </c>
      <c r="Q43" s="26" t="n">
        <v>0</v>
      </c>
      <c r="R43" s="27" t="n">
        <f aca="false">IF(P43&gt;0,Q43/P43*100,"")</f>
        <v>0</v>
      </c>
      <c r="S43" s="26" t="n">
        <v>4161</v>
      </c>
      <c r="T43" s="26" t="s">
        <v>54</v>
      </c>
      <c r="U43" s="28"/>
      <c r="V43" s="28"/>
      <c r="W43" s="28"/>
      <c r="X43" s="28"/>
      <c r="Y43" s="28"/>
      <c r="Z43" s="25"/>
    </row>
    <row r="44" customFormat="false" ht="34.5" hidden="false" customHeight="true" outlineLevel="0" collapsed="false">
      <c r="A44" s="24" t="n">
        <v>0</v>
      </c>
      <c r="B44" s="24" t="s">
        <v>49</v>
      </c>
      <c r="C44" s="24" t="s">
        <v>63</v>
      </c>
      <c r="D44" s="24" t="s">
        <v>64</v>
      </c>
      <c r="E44" s="24" t="n">
        <v>3</v>
      </c>
      <c r="F44" s="24" t="n">
        <v>3421</v>
      </c>
      <c r="G44" s="24" t="str">
        <f aca="false">IF(H44=0,"S","N")</f>
        <v>S</v>
      </c>
      <c r="H44" s="24" t="n">
        <v>0</v>
      </c>
      <c r="I44" s="24" t="n">
        <v>5</v>
      </c>
      <c r="J44" s="24" t="n">
        <v>0</v>
      </c>
      <c r="K44" s="24" t="n">
        <v>5</v>
      </c>
      <c r="L44" s="24" t="s">
        <v>127</v>
      </c>
      <c r="M44" s="25" t="s">
        <v>153</v>
      </c>
      <c r="N44" s="1" t="s">
        <v>154</v>
      </c>
      <c r="O44" s="26" t="n">
        <v>3421</v>
      </c>
      <c r="P44" s="26" t="n">
        <v>45</v>
      </c>
      <c r="Q44" s="26" t="n">
        <v>0</v>
      </c>
      <c r="R44" s="27" t="n">
        <f aca="false">IF(P44&gt;0,Q44/P44*100,"")</f>
        <v>0</v>
      </c>
      <c r="S44" s="26" t="n">
        <v>1859</v>
      </c>
      <c r="T44" s="26" t="n">
        <v>0.2</v>
      </c>
      <c r="U44" s="28"/>
      <c r="V44" s="28"/>
      <c r="W44" s="28"/>
      <c r="X44" s="28"/>
      <c r="Y44" s="28"/>
      <c r="Z44" s="25"/>
    </row>
    <row r="45" customFormat="false" ht="34.5" hidden="false" customHeight="true" outlineLevel="0" collapsed="false">
      <c r="A45" s="24" t="n">
        <v>0</v>
      </c>
      <c r="B45" s="24" t="s">
        <v>49</v>
      </c>
      <c r="C45" s="24" t="s">
        <v>57</v>
      </c>
      <c r="D45" s="24" t="s">
        <v>58</v>
      </c>
      <c r="E45" s="24" t="n">
        <v>3</v>
      </c>
      <c r="F45" s="24" t="n">
        <v>3843</v>
      </c>
      <c r="G45" s="24" t="str">
        <f aca="false">IF(H45=0,"S","N")</f>
        <v>S</v>
      </c>
      <c r="H45" s="24" t="n">
        <v>0</v>
      </c>
      <c r="I45" s="24" t="n">
        <v>5</v>
      </c>
      <c r="J45" s="24" t="n">
        <v>0</v>
      </c>
      <c r="K45" s="24" t="n">
        <v>5</v>
      </c>
      <c r="L45" s="24" t="s">
        <v>127</v>
      </c>
      <c r="M45" s="25" t="s">
        <v>155</v>
      </c>
      <c r="N45" s="1" t="s">
        <v>156</v>
      </c>
      <c r="O45" s="26" t="n">
        <v>3843</v>
      </c>
      <c r="P45" s="26" t="n">
        <v>73</v>
      </c>
      <c r="Q45" s="26" t="n">
        <v>0</v>
      </c>
      <c r="R45" s="27" t="n">
        <f aca="false">IF(P45&gt;0,Q45/P45*100,"")</f>
        <v>0</v>
      </c>
      <c r="S45" s="26" t="n">
        <v>1507</v>
      </c>
      <c r="T45" s="26" t="s">
        <v>54</v>
      </c>
      <c r="U45" s="28"/>
      <c r="V45" s="28"/>
      <c r="W45" s="28"/>
      <c r="X45" s="28"/>
      <c r="Y45" s="28"/>
      <c r="Z45" s="25"/>
    </row>
    <row r="46" customFormat="false" ht="34.5" hidden="false" customHeight="true" outlineLevel="0" collapsed="false">
      <c r="A46" s="24" t="n">
        <v>0</v>
      </c>
      <c r="B46" s="24" t="s">
        <v>49</v>
      </c>
      <c r="C46" s="24" t="s">
        <v>125</v>
      </c>
      <c r="D46" s="24" t="s">
        <v>126</v>
      </c>
      <c r="E46" s="24" t="n">
        <v>3</v>
      </c>
      <c r="F46" s="24" t="n">
        <v>6146</v>
      </c>
      <c r="G46" s="24" t="str">
        <f aca="false">IF(H46=0,"S","N")</f>
        <v>S</v>
      </c>
      <c r="H46" s="24" t="n">
        <v>0</v>
      </c>
      <c r="I46" s="24" t="n">
        <v>5</v>
      </c>
      <c r="J46" s="24" t="n">
        <v>0</v>
      </c>
      <c r="K46" s="24" t="n">
        <v>5</v>
      </c>
      <c r="L46" s="24" t="s">
        <v>127</v>
      </c>
      <c r="M46" s="25" t="s">
        <v>157</v>
      </c>
      <c r="N46" s="1" t="s">
        <v>158</v>
      </c>
      <c r="O46" s="26" t="n">
        <v>6141</v>
      </c>
      <c r="P46" s="26" t="n">
        <v>95</v>
      </c>
      <c r="Q46" s="26" t="n">
        <v>0</v>
      </c>
      <c r="R46" s="27" t="n">
        <f aca="false">IF(P46&gt;0,Q46/P46*100,"")</f>
        <v>0</v>
      </c>
      <c r="S46" s="26" t="n">
        <v>1738</v>
      </c>
      <c r="T46" s="26" t="s">
        <v>54</v>
      </c>
      <c r="U46" s="28"/>
      <c r="V46" s="28"/>
      <c r="W46" s="28"/>
      <c r="X46" s="28"/>
      <c r="Y46" s="28"/>
      <c r="Z46" s="25"/>
    </row>
    <row r="47" customFormat="false" ht="45.75" hidden="false" customHeight="true" outlineLevel="0" collapsed="false">
      <c r="A47" s="24" t="n">
        <v>1</v>
      </c>
      <c r="B47" s="24" t="s">
        <v>71</v>
      </c>
      <c r="C47" s="24" t="s">
        <v>50</v>
      </c>
      <c r="D47" s="24" t="s">
        <v>51</v>
      </c>
      <c r="E47" s="24" t="n">
        <v>3</v>
      </c>
      <c r="F47" s="24" t="n">
        <v>16263</v>
      </c>
      <c r="G47" s="24" t="str">
        <f aca="false">IF(H47=0,"S","N")</f>
        <v>S</v>
      </c>
      <c r="H47" s="24" t="n">
        <v>0</v>
      </c>
      <c r="I47" s="24" t="n">
        <v>5</v>
      </c>
      <c r="J47" s="24" t="n">
        <v>0</v>
      </c>
      <c r="K47" s="24" t="n">
        <v>5</v>
      </c>
      <c r="L47" s="24" t="s">
        <v>127</v>
      </c>
      <c r="M47" s="25" t="s">
        <v>159</v>
      </c>
      <c r="N47" s="1" t="s">
        <v>160</v>
      </c>
      <c r="O47" s="26" t="n">
        <v>16263</v>
      </c>
      <c r="P47" s="26" t="n">
        <v>366</v>
      </c>
      <c r="Q47" s="26" t="n">
        <v>0</v>
      </c>
      <c r="R47" s="27" t="n">
        <f aca="false">IF(P47&gt;0,Q47/P47*100,"")</f>
        <v>0</v>
      </c>
      <c r="S47" s="26" t="n">
        <v>7720</v>
      </c>
      <c r="T47" s="26" t="s">
        <v>54</v>
      </c>
      <c r="U47" s="28"/>
      <c r="V47" s="28"/>
      <c r="W47" s="28"/>
      <c r="X47" s="28"/>
      <c r="Y47" s="28"/>
      <c r="Z47" s="25"/>
    </row>
    <row r="48" customFormat="false" ht="57" hidden="false" customHeight="true" outlineLevel="0" collapsed="false">
      <c r="A48" s="24" t="n">
        <v>1</v>
      </c>
      <c r="B48" s="24" t="s">
        <v>71</v>
      </c>
      <c r="C48" s="24" t="s">
        <v>63</v>
      </c>
      <c r="D48" s="24" t="s">
        <v>64</v>
      </c>
      <c r="E48" s="24" t="n">
        <v>3</v>
      </c>
      <c r="F48" s="24" t="n">
        <v>8189</v>
      </c>
      <c r="G48" s="24" t="str">
        <f aca="false">IF(H48=0,"S","N")</f>
        <v>S</v>
      </c>
      <c r="H48" s="24" t="n">
        <v>0</v>
      </c>
      <c r="I48" s="24" t="n">
        <v>5</v>
      </c>
      <c r="J48" s="24" t="n">
        <v>0</v>
      </c>
      <c r="K48" s="24" t="n">
        <v>4</v>
      </c>
      <c r="L48" s="24" t="s">
        <v>127</v>
      </c>
      <c r="M48" s="25" t="s">
        <v>161</v>
      </c>
      <c r="N48" s="1" t="s">
        <v>162</v>
      </c>
      <c r="O48" s="26" t="n">
        <v>8189</v>
      </c>
      <c r="P48" s="26" t="n">
        <v>211</v>
      </c>
      <c r="Q48" s="26" t="n">
        <v>0</v>
      </c>
      <c r="R48" s="27" t="n">
        <f aca="false">IF(P48&gt;0,Q48/P48*100,"")</f>
        <v>0</v>
      </c>
      <c r="S48" s="26" t="n">
        <v>3758</v>
      </c>
      <c r="T48" s="26" t="n">
        <v>0.2</v>
      </c>
      <c r="U48" s="28"/>
      <c r="V48" s="28"/>
      <c r="W48" s="28"/>
      <c r="X48" s="28"/>
      <c r="Y48" s="28"/>
      <c r="Z48" s="25" t="s">
        <v>163</v>
      </c>
    </row>
    <row r="49" customFormat="false" ht="45.75" hidden="false" customHeight="true" outlineLevel="0" collapsed="false">
      <c r="A49" s="24" t="n">
        <v>1</v>
      </c>
      <c r="B49" s="24" t="s">
        <v>71</v>
      </c>
      <c r="C49" s="24" t="s">
        <v>57</v>
      </c>
      <c r="D49" s="24" t="s">
        <v>58</v>
      </c>
      <c r="E49" s="24" t="n">
        <v>3</v>
      </c>
      <c r="F49" s="24" t="n">
        <v>23557</v>
      </c>
      <c r="G49" s="24" t="str">
        <f aca="false">IF(H49=0,"S","N")</f>
        <v>S</v>
      </c>
      <c r="H49" s="24" t="n">
        <v>0</v>
      </c>
      <c r="I49" s="24" t="n">
        <v>5</v>
      </c>
      <c r="J49" s="24" t="n">
        <v>0</v>
      </c>
      <c r="K49" s="24" t="n">
        <v>5</v>
      </c>
      <c r="L49" s="24" t="s">
        <v>127</v>
      </c>
      <c r="M49" s="25" t="s">
        <v>164</v>
      </c>
      <c r="N49" s="1" t="s">
        <v>165</v>
      </c>
      <c r="O49" s="26" t="n">
        <v>23557</v>
      </c>
      <c r="P49" s="26" t="n">
        <v>675</v>
      </c>
      <c r="Q49" s="26" t="n">
        <v>0</v>
      </c>
      <c r="R49" s="27" t="n">
        <f aca="false">IF(P49&gt;0,Q49/P49*100,"")</f>
        <v>0</v>
      </c>
      <c r="S49" s="26" t="n">
        <v>7543</v>
      </c>
      <c r="T49" s="26" t="s">
        <v>54</v>
      </c>
      <c r="U49" s="28"/>
      <c r="V49" s="28"/>
      <c r="W49" s="28"/>
      <c r="X49" s="28"/>
      <c r="Y49" s="28"/>
      <c r="Z49" s="25"/>
    </row>
    <row r="50" customFormat="false" ht="79.5" hidden="false" customHeight="true" outlineLevel="0" collapsed="false">
      <c r="A50" s="24" t="n">
        <v>1</v>
      </c>
      <c r="B50" s="24" t="s">
        <v>71</v>
      </c>
      <c r="C50" s="24" t="s">
        <v>125</v>
      </c>
      <c r="D50" s="24" t="s">
        <v>126</v>
      </c>
      <c r="E50" s="24" t="n">
        <v>3</v>
      </c>
      <c r="F50" s="24" t="n">
        <v>13266</v>
      </c>
      <c r="G50" s="24" t="str">
        <f aca="false">IF(H50=0,"S","N")</f>
        <v>N</v>
      </c>
      <c r="H50" s="24" t="n">
        <v>2</v>
      </c>
      <c r="I50" s="24" t="n">
        <v>5</v>
      </c>
      <c r="J50" s="24" t="n">
        <v>0</v>
      </c>
      <c r="K50" s="24" t="n">
        <v>4</v>
      </c>
      <c r="L50" s="24" t="s">
        <v>127</v>
      </c>
      <c r="M50" s="25" t="s">
        <v>166</v>
      </c>
      <c r="N50" s="1" t="s">
        <v>167</v>
      </c>
      <c r="O50" s="26" t="n">
        <v>13265</v>
      </c>
      <c r="P50" s="26" t="n">
        <v>264</v>
      </c>
      <c r="Q50" s="26" t="n">
        <v>0</v>
      </c>
      <c r="R50" s="27" t="n">
        <f aca="false">IF(P50&gt;0,Q50/P50*100,"")</f>
        <v>0</v>
      </c>
      <c r="S50" s="26" t="n">
        <v>3561</v>
      </c>
      <c r="T50" s="26" t="s">
        <v>54</v>
      </c>
      <c r="U50" s="28"/>
      <c r="V50" s="28"/>
      <c r="W50" s="28"/>
      <c r="X50" s="28"/>
      <c r="Y50" s="28"/>
      <c r="Z50" s="25" t="s">
        <v>136</v>
      </c>
    </row>
    <row r="51" customFormat="false" ht="23.25" hidden="false" customHeight="true" outlineLevel="0" collapsed="false">
      <c r="A51" s="24" t="n">
        <v>2</v>
      </c>
      <c r="B51" s="24" t="s">
        <v>84</v>
      </c>
      <c r="C51" s="24" t="s">
        <v>50</v>
      </c>
      <c r="D51" s="24" t="s">
        <v>51</v>
      </c>
      <c r="E51" s="24" t="n">
        <v>3</v>
      </c>
      <c r="F51" s="24" t="n">
        <v>19857</v>
      </c>
      <c r="G51" s="24" t="str">
        <f aca="false">IF(H51=0,"S","N")</f>
        <v>S</v>
      </c>
      <c r="H51" s="24" t="n">
        <v>0</v>
      </c>
      <c r="I51" s="24" t="n">
        <v>5</v>
      </c>
      <c r="J51" s="24" t="n">
        <v>1</v>
      </c>
      <c r="K51" s="24" t="n">
        <v>5</v>
      </c>
      <c r="L51" s="24" t="s">
        <v>127</v>
      </c>
      <c r="M51" s="25" t="s">
        <v>168</v>
      </c>
      <c r="N51" s="1" t="s">
        <v>169</v>
      </c>
      <c r="O51" s="26" t="n">
        <v>13200</v>
      </c>
      <c r="P51" s="26" t="n">
        <v>217</v>
      </c>
      <c r="Q51" s="26" t="n">
        <v>0</v>
      </c>
      <c r="R51" s="27" t="n">
        <f aca="false">IF(P51&gt;0,Q51/P51*100,"")</f>
        <v>0</v>
      </c>
      <c r="S51" s="26" t="n">
        <v>6619</v>
      </c>
      <c r="T51" s="26" t="s">
        <v>54</v>
      </c>
      <c r="U51" s="28"/>
      <c r="V51" s="28"/>
      <c r="W51" s="28"/>
      <c r="X51" s="28"/>
      <c r="Y51" s="28"/>
      <c r="Z51" s="25"/>
    </row>
    <row r="52" customFormat="false" ht="45.75" hidden="false" customHeight="true" outlineLevel="0" collapsed="false">
      <c r="A52" s="24" t="n">
        <v>2</v>
      </c>
      <c r="B52" s="24" t="s">
        <v>84</v>
      </c>
      <c r="C52" s="24" t="s">
        <v>63</v>
      </c>
      <c r="D52" s="24" t="s">
        <v>64</v>
      </c>
      <c r="E52" s="24" t="n">
        <v>3</v>
      </c>
      <c r="F52" s="24" t="n">
        <v>6999</v>
      </c>
      <c r="G52" s="24" t="str">
        <f aca="false">IF(H52=0,"S","N")</f>
        <v>S</v>
      </c>
      <c r="H52" s="24" t="n">
        <v>0</v>
      </c>
      <c r="I52" s="24" t="n">
        <v>5</v>
      </c>
      <c r="J52" s="24" t="n">
        <v>0</v>
      </c>
      <c r="K52" s="24" t="n">
        <v>5</v>
      </c>
      <c r="L52" s="24" t="s">
        <v>127</v>
      </c>
      <c r="M52" s="25" t="s">
        <v>170</v>
      </c>
      <c r="N52" s="1" t="s">
        <v>171</v>
      </c>
      <c r="O52" s="26" t="n">
        <v>6999</v>
      </c>
      <c r="P52" s="26" t="n">
        <v>146</v>
      </c>
      <c r="Q52" s="26" t="n">
        <v>0</v>
      </c>
      <c r="R52" s="27" t="n">
        <f aca="false">IF(P52&gt;0,Q52/P52*100,"")</f>
        <v>0</v>
      </c>
      <c r="S52" s="26" t="n">
        <v>3302</v>
      </c>
      <c r="T52" s="26" t="n">
        <v>0.2</v>
      </c>
      <c r="U52" s="28"/>
      <c r="V52" s="28"/>
      <c r="W52" s="28"/>
      <c r="X52" s="28"/>
      <c r="Y52" s="28"/>
      <c r="Z52" s="25"/>
    </row>
    <row r="53" customFormat="false" ht="34.5" hidden="false" customHeight="true" outlineLevel="0" collapsed="false">
      <c r="A53" s="24" t="n">
        <v>2</v>
      </c>
      <c r="B53" s="24" t="s">
        <v>84</v>
      </c>
      <c r="C53" s="24" t="s">
        <v>57</v>
      </c>
      <c r="D53" s="24" t="s">
        <v>58</v>
      </c>
      <c r="E53" s="24" t="n">
        <v>3</v>
      </c>
      <c r="F53" s="24" t="n">
        <v>15580</v>
      </c>
      <c r="G53" s="24" t="str">
        <f aca="false">IF(H53=0,"S","N")</f>
        <v>S</v>
      </c>
      <c r="H53" s="24" t="n">
        <v>0</v>
      </c>
      <c r="I53" s="24" t="n">
        <v>5</v>
      </c>
      <c r="J53" s="24" t="n">
        <v>1</v>
      </c>
      <c r="K53" s="24" t="n">
        <v>5</v>
      </c>
      <c r="L53" s="24" t="s">
        <v>127</v>
      </c>
      <c r="M53" s="25" t="s">
        <v>172</v>
      </c>
      <c r="N53" s="1" t="s">
        <v>173</v>
      </c>
      <c r="O53" s="26" t="n">
        <v>15580</v>
      </c>
      <c r="P53" s="26" t="n">
        <v>458</v>
      </c>
      <c r="Q53" s="26" t="n">
        <v>0</v>
      </c>
      <c r="R53" s="27" t="n">
        <f aca="false">IF(P53&gt;0,Q53/P53*100,"")</f>
        <v>0</v>
      </c>
      <c r="S53" s="26" t="n">
        <v>5868</v>
      </c>
      <c r="T53" s="26" t="s">
        <v>54</v>
      </c>
      <c r="U53" s="28"/>
      <c r="V53" s="28"/>
      <c r="W53" s="28"/>
      <c r="X53" s="28"/>
      <c r="Y53" s="28"/>
      <c r="Z53" s="25"/>
    </row>
    <row r="54" customFormat="false" ht="90.75" hidden="false" customHeight="true" outlineLevel="0" collapsed="false">
      <c r="A54" s="24" t="n">
        <v>2</v>
      </c>
      <c r="B54" s="24" t="s">
        <v>84</v>
      </c>
      <c r="C54" s="24" t="s">
        <v>125</v>
      </c>
      <c r="D54" s="24" t="s">
        <v>126</v>
      </c>
      <c r="E54" s="24" t="n">
        <v>3</v>
      </c>
      <c r="F54" s="24" t="n">
        <v>12082</v>
      </c>
      <c r="G54" s="24" t="str">
        <f aca="false">IF(H54=0,"S","N")</f>
        <v>N</v>
      </c>
      <c r="H54" s="24" t="n">
        <v>2</v>
      </c>
      <c r="I54" s="24" t="n">
        <v>5</v>
      </c>
      <c r="J54" s="24" t="n">
        <v>0</v>
      </c>
      <c r="K54" s="24" t="n">
        <v>4</v>
      </c>
      <c r="L54" s="24" t="s">
        <v>127</v>
      </c>
      <c r="M54" s="25" t="s">
        <v>174</v>
      </c>
      <c r="N54" s="1" t="s">
        <v>175</v>
      </c>
      <c r="O54" s="26" t="n">
        <v>12073</v>
      </c>
      <c r="P54" s="26" t="n">
        <v>203</v>
      </c>
      <c r="Q54" s="26" t="n">
        <v>0</v>
      </c>
      <c r="R54" s="27" t="n">
        <f aca="false">IF(P54&gt;0,Q54/P54*100,"")</f>
        <v>0</v>
      </c>
      <c r="S54" s="26" t="n">
        <v>3239</v>
      </c>
      <c r="T54" s="26" t="s">
        <v>54</v>
      </c>
      <c r="U54" s="28"/>
      <c r="V54" s="28"/>
      <c r="W54" s="28"/>
      <c r="X54" s="28"/>
      <c r="Y54" s="28"/>
      <c r="Z54" s="25" t="s">
        <v>136</v>
      </c>
    </row>
    <row r="55" customFormat="false" ht="34.5" hidden="false" customHeight="true" outlineLevel="0" collapsed="false">
      <c r="A55" s="24" t="n">
        <v>3</v>
      </c>
      <c r="B55" s="24" t="s">
        <v>98</v>
      </c>
      <c r="C55" s="24" t="s">
        <v>50</v>
      </c>
      <c r="D55" s="24" t="s">
        <v>51</v>
      </c>
      <c r="E55" s="24" t="n">
        <v>3</v>
      </c>
      <c r="F55" s="24" t="n">
        <v>18873</v>
      </c>
      <c r="G55" s="24" t="str">
        <f aca="false">IF(H55=0,"S","N")</f>
        <v>S</v>
      </c>
      <c r="H55" s="24" t="n">
        <v>0</v>
      </c>
      <c r="I55" s="24" t="n">
        <v>5</v>
      </c>
      <c r="J55" s="24" t="n">
        <v>1</v>
      </c>
      <c r="K55" s="24" t="n">
        <v>5</v>
      </c>
      <c r="L55" s="24" t="s">
        <v>127</v>
      </c>
      <c r="M55" s="25" t="s">
        <v>176</v>
      </c>
      <c r="N55" s="1" t="s">
        <v>177</v>
      </c>
      <c r="O55" s="26" t="n">
        <v>18873</v>
      </c>
      <c r="P55" s="26" t="n">
        <v>333</v>
      </c>
      <c r="Q55" s="26" t="n">
        <v>1</v>
      </c>
      <c r="R55" s="27" t="n">
        <f aca="false">IF(P55&gt;0,Q55/P55*100,"")</f>
        <v>0.3003003003003</v>
      </c>
      <c r="S55" s="26" t="n">
        <v>8749</v>
      </c>
      <c r="T55" s="26" t="s">
        <v>54</v>
      </c>
      <c r="U55" s="28"/>
      <c r="V55" s="28"/>
      <c r="W55" s="28"/>
      <c r="X55" s="28"/>
      <c r="Y55" s="28"/>
      <c r="Z55" s="25"/>
    </row>
    <row r="56" customFormat="false" ht="90.75" hidden="false" customHeight="true" outlineLevel="0" collapsed="false">
      <c r="A56" s="24" t="n">
        <v>3</v>
      </c>
      <c r="B56" s="24" t="s">
        <v>98</v>
      </c>
      <c r="C56" s="24" t="s">
        <v>63</v>
      </c>
      <c r="D56" s="24" t="s">
        <v>64</v>
      </c>
      <c r="E56" s="24" t="n">
        <v>3</v>
      </c>
      <c r="F56" s="24" t="n">
        <v>10857</v>
      </c>
      <c r="G56" s="24" t="str">
        <f aca="false">IF(H56=0,"S","N")</f>
        <v>S</v>
      </c>
      <c r="H56" s="24" t="n">
        <v>0</v>
      </c>
      <c r="I56" s="24" t="n">
        <v>5</v>
      </c>
      <c r="J56" s="24" t="n">
        <v>2</v>
      </c>
      <c r="K56" s="24" t="n">
        <v>4</v>
      </c>
      <c r="L56" s="24" t="s">
        <v>127</v>
      </c>
      <c r="M56" s="25" t="s">
        <v>178</v>
      </c>
      <c r="N56" s="1" t="s">
        <v>179</v>
      </c>
      <c r="O56" s="26" t="n">
        <v>10857</v>
      </c>
      <c r="P56" s="26" t="n">
        <v>151</v>
      </c>
      <c r="Q56" s="26" t="n">
        <v>0</v>
      </c>
      <c r="R56" s="27" t="n">
        <f aca="false">IF(P56&gt;0,Q56/P56*100,"")</f>
        <v>0</v>
      </c>
      <c r="S56" s="26" t="n">
        <v>4225</v>
      </c>
      <c r="T56" s="26" t="n">
        <v>0.2</v>
      </c>
      <c r="U56" s="28"/>
      <c r="V56" s="28"/>
      <c r="W56" s="28"/>
      <c r="X56" s="28"/>
      <c r="Y56" s="28"/>
      <c r="Z56" s="25"/>
    </row>
    <row r="57" customFormat="false" ht="45.75" hidden="false" customHeight="true" outlineLevel="0" collapsed="false">
      <c r="A57" s="24" t="n">
        <v>3</v>
      </c>
      <c r="B57" s="24" t="s">
        <v>98</v>
      </c>
      <c r="C57" s="24" t="s">
        <v>57</v>
      </c>
      <c r="D57" s="24" t="s">
        <v>58</v>
      </c>
      <c r="E57" s="24" t="n">
        <v>3</v>
      </c>
      <c r="F57" s="24" t="n">
        <v>36307</v>
      </c>
      <c r="G57" s="24" t="str">
        <f aca="false">IF(H57=0,"S","N")</f>
        <v>S</v>
      </c>
      <c r="H57" s="24" t="n">
        <v>0</v>
      </c>
      <c r="I57" s="24" t="n">
        <v>5</v>
      </c>
      <c r="J57" s="24" t="n">
        <v>1</v>
      </c>
      <c r="K57" s="24" t="n">
        <v>5</v>
      </c>
      <c r="L57" s="24" t="s">
        <v>127</v>
      </c>
      <c r="M57" s="25" t="s">
        <v>180</v>
      </c>
      <c r="N57" s="1" t="s">
        <v>181</v>
      </c>
      <c r="O57" s="26" t="n">
        <v>36307</v>
      </c>
      <c r="P57" s="26" t="n">
        <v>772</v>
      </c>
      <c r="Q57" s="26" t="n">
        <v>0</v>
      </c>
      <c r="R57" s="27" t="n">
        <f aca="false">IF(P57&gt;0,Q57/P57*100,"")</f>
        <v>0</v>
      </c>
      <c r="S57" s="26" t="n">
        <v>10341</v>
      </c>
      <c r="T57" s="26" t="s">
        <v>54</v>
      </c>
      <c r="U57" s="28"/>
      <c r="V57" s="28"/>
      <c r="W57" s="28"/>
      <c r="X57" s="28"/>
      <c r="Y57" s="28"/>
      <c r="Z57" s="25"/>
    </row>
    <row r="58" customFormat="false" ht="79.5" hidden="false" customHeight="true" outlineLevel="0" collapsed="false">
      <c r="A58" s="24" t="n">
        <v>3</v>
      </c>
      <c r="B58" s="24" t="s">
        <v>98</v>
      </c>
      <c r="C58" s="24" t="s">
        <v>125</v>
      </c>
      <c r="D58" s="24" t="s">
        <v>126</v>
      </c>
      <c r="E58" s="24" t="n">
        <v>3</v>
      </c>
      <c r="F58" s="24" t="n">
        <v>15766</v>
      </c>
      <c r="G58" s="24" t="str">
        <f aca="false">IF(H58=0,"S","N")</f>
        <v>N</v>
      </c>
      <c r="H58" s="24" t="n">
        <v>1</v>
      </c>
      <c r="I58" s="24" t="n">
        <v>5</v>
      </c>
      <c r="J58" s="24" t="n">
        <v>0</v>
      </c>
      <c r="K58" s="24" t="n">
        <v>4</v>
      </c>
      <c r="L58" s="24" t="s">
        <v>127</v>
      </c>
      <c r="M58" s="25" t="s">
        <v>182</v>
      </c>
      <c r="N58" s="1" t="s">
        <v>183</v>
      </c>
      <c r="O58" s="26" t="n">
        <v>15764</v>
      </c>
      <c r="P58" s="26" t="n">
        <v>288</v>
      </c>
      <c r="Q58" s="26" t="n">
        <v>0</v>
      </c>
      <c r="R58" s="27" t="n">
        <f aca="false">IF(P58&gt;0,Q58/P58*100,"")</f>
        <v>0</v>
      </c>
      <c r="S58" s="26" t="n">
        <v>4342</v>
      </c>
      <c r="T58" s="26" t="s">
        <v>54</v>
      </c>
      <c r="U58" s="28"/>
      <c r="V58" s="28"/>
      <c r="W58" s="28"/>
      <c r="X58" s="28"/>
      <c r="Y58" s="28"/>
      <c r="Z58" s="25" t="s">
        <v>136</v>
      </c>
    </row>
    <row r="59" customFormat="false" ht="135.75" hidden="false" customHeight="true" outlineLevel="0" collapsed="false">
      <c r="A59" s="24" t="n">
        <v>4</v>
      </c>
      <c r="B59" s="24" t="s">
        <v>111</v>
      </c>
      <c r="C59" s="24" t="s">
        <v>50</v>
      </c>
      <c r="D59" s="24" t="s">
        <v>51</v>
      </c>
      <c r="E59" s="24" t="n">
        <v>3</v>
      </c>
      <c r="F59" s="24" t="n">
        <v>18384</v>
      </c>
      <c r="G59" s="24" t="str">
        <f aca="false">IF(H59=0,"S","N")</f>
        <v>S</v>
      </c>
      <c r="H59" s="24" t="n">
        <v>0</v>
      </c>
      <c r="I59" s="24" t="n">
        <v>5</v>
      </c>
      <c r="J59" s="24" t="n">
        <v>1</v>
      </c>
      <c r="K59" s="24" t="n">
        <v>5</v>
      </c>
      <c r="L59" s="29" t="n">
        <f aca="false">SUM(U59:Y59)</f>
        <v>3</v>
      </c>
      <c r="M59" s="25" t="s">
        <v>184</v>
      </c>
      <c r="N59" s="1" t="s">
        <v>185</v>
      </c>
      <c r="O59" s="26" t="n">
        <v>18384</v>
      </c>
      <c r="P59" s="26" t="n">
        <v>337</v>
      </c>
      <c r="Q59" s="26" t="n">
        <v>1</v>
      </c>
      <c r="R59" s="27" t="n">
        <f aca="false">IF(P59&gt;0,Q59/P59*100,"")</f>
        <v>0.29673590504451</v>
      </c>
      <c r="S59" s="26" t="n">
        <v>8073</v>
      </c>
      <c r="T59" s="26" t="s">
        <v>54</v>
      </c>
      <c r="U59" s="30" t="n">
        <v>1</v>
      </c>
      <c r="V59" s="30" t="n">
        <v>0.5</v>
      </c>
      <c r="W59" s="30" t="n">
        <v>0.5</v>
      </c>
      <c r="X59" s="30" t="n">
        <v>0</v>
      </c>
      <c r="Y59" s="30" t="n">
        <v>1</v>
      </c>
      <c r="Z59" s="25" t="s">
        <v>186</v>
      </c>
    </row>
    <row r="60" customFormat="false" ht="113.25" hidden="false" customHeight="true" outlineLevel="0" collapsed="false">
      <c r="A60" s="24" t="n">
        <v>4</v>
      </c>
      <c r="B60" s="24" t="s">
        <v>111</v>
      </c>
      <c r="C60" s="24" t="s">
        <v>63</v>
      </c>
      <c r="D60" s="24" t="s">
        <v>64</v>
      </c>
      <c r="E60" s="24" t="n">
        <v>3</v>
      </c>
      <c r="F60" s="24" t="n">
        <v>14231</v>
      </c>
      <c r="G60" s="24" t="str">
        <f aca="false">IF(H60=0,"S","N")</f>
        <v>S</v>
      </c>
      <c r="H60" s="24" t="n">
        <v>0</v>
      </c>
      <c r="I60" s="24" t="n">
        <v>5</v>
      </c>
      <c r="J60" s="24" t="n">
        <v>2</v>
      </c>
      <c r="K60" s="24" t="n">
        <v>2</v>
      </c>
      <c r="L60" s="29" t="n">
        <f aca="false">SUM(U60:Y60)</f>
        <v>1</v>
      </c>
      <c r="M60" s="25" t="s">
        <v>187</v>
      </c>
      <c r="N60" s="1" t="s">
        <v>188</v>
      </c>
      <c r="O60" s="26" t="n">
        <v>14231</v>
      </c>
      <c r="P60" s="26" t="n">
        <v>124</v>
      </c>
      <c r="Q60" s="26" t="n">
        <v>2</v>
      </c>
      <c r="R60" s="27" t="n">
        <f aca="false">IF(P60&gt;0,Q60/P60*100,"")</f>
        <v>1.61290322580645</v>
      </c>
      <c r="S60" s="26" t="n">
        <v>5298</v>
      </c>
      <c r="T60" s="26" t="n">
        <v>0.2</v>
      </c>
      <c r="U60" s="30" t="n">
        <v>1</v>
      </c>
      <c r="V60" s="30" t="n">
        <v>0</v>
      </c>
      <c r="W60" s="30" t="n">
        <v>0</v>
      </c>
      <c r="X60" s="30" t="n">
        <v>0</v>
      </c>
      <c r="Y60" s="30" t="n">
        <v>0</v>
      </c>
      <c r="Z60" s="25" t="s">
        <v>189</v>
      </c>
    </row>
    <row r="61" customFormat="false" ht="113.25" hidden="false" customHeight="true" outlineLevel="0" collapsed="false">
      <c r="A61" s="24" t="n">
        <v>4</v>
      </c>
      <c r="B61" s="24" t="s">
        <v>111</v>
      </c>
      <c r="C61" s="24" t="s">
        <v>57</v>
      </c>
      <c r="D61" s="24" t="s">
        <v>58</v>
      </c>
      <c r="E61" s="24" t="n">
        <v>3</v>
      </c>
      <c r="F61" s="24" t="n">
        <v>45058</v>
      </c>
      <c r="G61" s="24" t="str">
        <f aca="false">IF(H61=0,"S","N")</f>
        <v>S</v>
      </c>
      <c r="H61" s="24" t="n">
        <v>0</v>
      </c>
      <c r="I61" s="24" t="n">
        <v>5</v>
      </c>
      <c r="J61" s="24" t="n">
        <v>4</v>
      </c>
      <c r="K61" s="24" t="n">
        <v>5</v>
      </c>
      <c r="L61" s="29" t="n">
        <f aca="false">SUM(U61:Y61)</f>
        <v>5</v>
      </c>
      <c r="M61" s="25" t="s">
        <v>190</v>
      </c>
      <c r="N61" s="1" t="s">
        <v>191</v>
      </c>
      <c r="O61" s="26" t="n">
        <v>45058</v>
      </c>
      <c r="P61" s="26" t="n">
        <v>1290</v>
      </c>
      <c r="Q61" s="26" t="n">
        <v>0</v>
      </c>
      <c r="R61" s="27" t="n">
        <f aca="false">IF(P61&gt;0,Q61/P61*100,"")</f>
        <v>0</v>
      </c>
      <c r="S61" s="26" t="n">
        <v>13079</v>
      </c>
      <c r="T61" s="26" t="s">
        <v>54</v>
      </c>
      <c r="U61" s="30" t="n">
        <v>1</v>
      </c>
      <c r="V61" s="30" t="n">
        <v>1</v>
      </c>
      <c r="W61" s="30" t="n">
        <v>1</v>
      </c>
      <c r="X61" s="30" t="n">
        <v>1</v>
      </c>
      <c r="Y61" s="30" t="n">
        <v>1</v>
      </c>
      <c r="Z61" s="25"/>
    </row>
    <row r="62" customFormat="false" ht="57" hidden="false" customHeight="true" outlineLevel="0" collapsed="false">
      <c r="A62" s="24" t="n">
        <v>4</v>
      </c>
      <c r="B62" s="24" t="s">
        <v>111</v>
      </c>
      <c r="C62" s="24" t="s">
        <v>125</v>
      </c>
      <c r="D62" s="24" t="s">
        <v>126</v>
      </c>
      <c r="E62" s="24" t="n">
        <v>3</v>
      </c>
      <c r="F62" s="24" t="n">
        <v>17001</v>
      </c>
      <c r="G62" s="24" t="str">
        <f aca="false">IF(H62=0,"S","N")</f>
        <v>S</v>
      </c>
      <c r="H62" s="24" t="n">
        <v>0</v>
      </c>
      <c r="I62" s="24" t="n">
        <v>5</v>
      </c>
      <c r="J62" s="24" t="n">
        <v>0</v>
      </c>
      <c r="K62" s="24" t="n">
        <v>4</v>
      </c>
      <c r="L62" s="29" t="n">
        <f aca="false">SUM(U62:Y62)</f>
        <v>3</v>
      </c>
      <c r="M62" s="25" t="s">
        <v>192</v>
      </c>
      <c r="N62" s="1" t="s">
        <v>193</v>
      </c>
      <c r="O62" s="26" t="n">
        <v>16998</v>
      </c>
      <c r="P62" s="26" t="n">
        <v>256</v>
      </c>
      <c r="Q62" s="26" t="n">
        <v>0</v>
      </c>
      <c r="R62" s="27" t="n">
        <f aca="false">IF(P62&gt;0,Q62/P62*100,"")</f>
        <v>0</v>
      </c>
      <c r="S62" s="26" t="n">
        <v>4511</v>
      </c>
      <c r="T62" s="26" t="s">
        <v>54</v>
      </c>
      <c r="U62" s="30" t="n">
        <v>1</v>
      </c>
      <c r="V62" s="30" t="n">
        <v>0.5</v>
      </c>
      <c r="W62" s="30" t="n">
        <v>0.5</v>
      </c>
      <c r="X62" s="30" t="n">
        <v>0</v>
      </c>
      <c r="Y62" s="30" t="n">
        <v>1</v>
      </c>
      <c r="Z62" s="25" t="s">
        <v>186</v>
      </c>
    </row>
  </sheetData>
  <mergeCells count="1">
    <mergeCell ref="A1:Z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12"/>
    <col collapsed="false" customWidth="true" hidden="false" outlineLevel="0" max="2" min="2" style="1" width="18"/>
    <col collapsed="false" customWidth="true" hidden="false" outlineLevel="0" max="3" min="3" style="1" width="20"/>
    <col collapsed="false" customWidth="true" hidden="false" outlineLevel="0" max="4" min="4" style="1" width="16"/>
    <col collapsed="false" customWidth="true" hidden="false" outlineLevel="0" max="5" min="5" style="1" width="24"/>
    <col collapsed="false" customWidth="true" hidden="false" outlineLevel="0" max="6" min="6" style="1" width="16"/>
    <col collapsed="false" customWidth="true" hidden="false" outlineLevel="0" max="7" min="7" style="1" width="18"/>
    <col collapsed="false" customWidth="true" hidden="false" outlineLevel="0" max="12" min="8" style="1" width="16"/>
  </cols>
  <sheetData>
    <row r="1" customFormat="false" ht="17.25" hidden="false" customHeight="true" outlineLevel="0" collapsed="false">
      <c r="A1" s="2" t="s">
        <v>194</v>
      </c>
      <c r="B1" s="2"/>
      <c r="C1" s="2"/>
      <c r="D1" s="2"/>
      <c r="E1" s="2"/>
      <c r="F1" s="2"/>
      <c r="G1" s="2"/>
      <c r="H1" s="2"/>
      <c r="I1" s="2"/>
      <c r="J1" s="2"/>
      <c r="K1" s="2"/>
      <c r="L1" s="2"/>
    </row>
    <row r="2" customFormat="false" ht="15" hidden="false" customHeight="true" outlineLevel="0" collapsed="false">
      <c r="A2" s="3" t="s">
        <v>195</v>
      </c>
      <c r="B2" s="3"/>
      <c r="C2" s="3"/>
      <c r="D2" s="3"/>
      <c r="E2" s="3"/>
      <c r="F2" s="3"/>
      <c r="G2" s="3"/>
      <c r="H2" s="3"/>
      <c r="I2" s="3"/>
      <c r="J2" s="3"/>
      <c r="K2" s="3"/>
      <c r="L2" s="3"/>
    </row>
    <row r="4" customFormat="false" ht="23.25" hidden="false" customHeight="true" outlineLevel="0" collapsed="false">
      <c r="A4" s="14" t="s">
        <v>28</v>
      </c>
      <c r="B4" s="14" t="s">
        <v>196</v>
      </c>
      <c r="C4" s="14" t="s">
        <v>197</v>
      </c>
      <c r="D4" s="14" t="s">
        <v>198</v>
      </c>
      <c r="E4" s="14" t="s">
        <v>199</v>
      </c>
      <c r="F4" s="14" t="s">
        <v>200</v>
      </c>
      <c r="G4" s="14" t="s">
        <v>201</v>
      </c>
      <c r="H4" s="14" t="s">
        <v>202</v>
      </c>
      <c r="I4" s="14" t="s">
        <v>203</v>
      </c>
      <c r="J4" s="14" t="s">
        <v>204</v>
      </c>
      <c r="K4" s="14" t="s">
        <v>205</v>
      </c>
      <c r="L4" s="14" t="s">
        <v>206</v>
      </c>
    </row>
    <row r="5" customFormat="false" ht="15" hidden="false" customHeight="true" outlineLevel="0" collapsed="false">
      <c r="A5" s="15" t="s">
        <v>50</v>
      </c>
      <c r="B5" s="31" t="n">
        <f aca="false">IFERROR(COUNTIFS(Avaliacao!C3:C62,A5,Avaliacao!G3:G62,"S")/COUNTIFS(Avaliacao!C3:C62,A5,Avaliacao!G3:G62,"&lt;&gt;")*100,"")</f>
        <v>100</v>
      </c>
      <c r="C5" s="32" t="n">
        <f aca="false">IFERROR(AVERAGEIFS(Avaliacao!H3:H62,Avaliacao!C3:C62,A5),"")</f>
        <v>0</v>
      </c>
      <c r="D5" s="32" t="n">
        <f aca="false">IFERROR(AVERAGEIFS(Avaliacao!I3:I62,Avaliacao!C3:C62,A5),"")</f>
        <v>5</v>
      </c>
      <c r="E5" s="32" t="n">
        <f aca="false">IFERROR(AVERAGEIFS(Avaliacao!J3:J62,Avaliacao!C3:C62,A5),"")</f>
        <v>1.2</v>
      </c>
      <c r="F5" s="32" t="n">
        <f aca="false">IFERROR(AVERAGEIFS(Avaliacao!K3:K62,Avaliacao!C3:C62,A5),"")</f>
        <v>4.86666666666667</v>
      </c>
      <c r="G5" s="32" t="n">
        <f aca="false">IFERROR(AVERAGEIFS(Avaliacao!L3:L62,Avaliacao!C3:C62,A5,Avaliacao!A3:A62,4),"")</f>
        <v>3</v>
      </c>
      <c r="H5" s="33" t="n">
        <f aca="false">COUNTIFS(Avaliacao!$C$3:$C$62,$A5,Avaliacao!$G$3:$G$62,"S")</f>
        <v>15</v>
      </c>
      <c r="I5" s="33" t="n">
        <f aca="false">SUMIFS(Avaliacao!$H$3:$H$62,Avaliacao!$C$3:$C$62,$A5)</f>
        <v>0</v>
      </c>
      <c r="J5" s="34" t="n">
        <f aca="false">IFERROR(SUMIFS(Avaliacao!$Q$3:$Q$62,Avaliacao!$C$3:$C$62,$A5)/SUMIFS(Avaliacao!$P$3:$P$62,Avaliacao!$C$3:$C$62,$A5)*100,"")</f>
        <v>0.166746069556932</v>
      </c>
      <c r="K5" s="33" t="n">
        <f aca="false">IFERROR(AVERAGEIFS(Avaliacao!$P$3:$P$62,Avaliacao!$C$3:$C$62,$A5),"")</f>
        <v>279.866666666667</v>
      </c>
      <c r="L5" s="33" t="n">
        <f aca="false">IFERROR(AVERAGEIFS(Avaliacao!$S$3:$S$62,Avaliacao!$C$3:$C$62,$A5),"")</f>
        <v>7497</v>
      </c>
    </row>
    <row r="6" customFormat="false" ht="15" hidden="false" customHeight="true" outlineLevel="0" collapsed="false">
      <c r="A6" s="15" t="s">
        <v>57</v>
      </c>
      <c r="B6" s="31" t="n">
        <f aca="false">IFERROR(COUNTIFS(Avaliacao!C3:C62,A6,Avaliacao!G3:G62,"S")/COUNTIFS(Avaliacao!C3:C62,A6,Avaliacao!G3:G62,"&lt;&gt;")*100,"")</f>
        <v>100</v>
      </c>
      <c r="C6" s="32" t="n">
        <f aca="false">IFERROR(AVERAGEIFS(Avaliacao!H3:H62,Avaliacao!C3:C62,A6),"")</f>
        <v>0</v>
      </c>
      <c r="D6" s="32" t="n">
        <f aca="false">IFERROR(AVERAGEIFS(Avaliacao!I3:I62,Avaliacao!C3:C62,A6),"")</f>
        <v>5</v>
      </c>
      <c r="E6" s="32" t="n">
        <f aca="false">IFERROR(AVERAGEIFS(Avaliacao!J3:J62,Avaliacao!C3:C62,A6),"")</f>
        <v>0.866666666666667</v>
      </c>
      <c r="F6" s="32" t="n">
        <f aca="false">IFERROR(AVERAGEIFS(Avaliacao!K3:K62,Avaliacao!C3:C62,A6),"")</f>
        <v>4.93333333333333</v>
      </c>
      <c r="G6" s="32" t="n">
        <f aca="false">IFERROR(AVERAGEIFS(Avaliacao!L3:L62,Avaliacao!C3:C62,A6,Avaliacao!A3:A62,4),"")</f>
        <v>5</v>
      </c>
      <c r="H6" s="33" t="n">
        <f aca="false">COUNTIFS(Avaliacao!$C$3:$C$62,$A6,Avaliacao!$G$3:$G$62,"S")</f>
        <v>15</v>
      </c>
      <c r="I6" s="33" t="n">
        <f aca="false">SUMIFS(Avaliacao!$H$3:$H$62,Avaliacao!$C$3:$C$62,$A6)</f>
        <v>0</v>
      </c>
      <c r="J6" s="34" t="n">
        <f aca="false">IFERROR(SUMIFS(Avaliacao!$Q$3:$Q$62,Avaliacao!$C$3:$C$62,$A6)/SUMIFS(Avaliacao!$P$3:$P$62,Avaliacao!$C$3:$C$62,$A6)*100,"")</f>
        <v>0.0113882245757886</v>
      </c>
      <c r="K6" s="33" t="n">
        <f aca="false">IFERROR(AVERAGEIFS(Avaliacao!$P$3:$P$62,Avaliacao!$C$3:$C$62,$A6),"")</f>
        <v>585.4</v>
      </c>
      <c r="L6" s="33" t="n">
        <f aca="false">IFERROR(AVERAGEIFS(Avaliacao!$S$3:$S$62,Avaliacao!$C$3:$C$62,$A6),"")</f>
        <v>7210.33333333333</v>
      </c>
    </row>
    <row r="7" customFormat="false" ht="15" hidden="false" customHeight="true" outlineLevel="0" collapsed="false">
      <c r="A7" s="15" t="s">
        <v>63</v>
      </c>
      <c r="B7" s="31" t="n">
        <f aca="false">IFERROR(COUNTIFS(Avaliacao!C3:C62,A7,Avaliacao!G3:G62,"S")/COUNTIFS(Avaliacao!C3:C62,A7,Avaliacao!G3:G62,"&lt;&gt;")*100,"")</f>
        <v>100</v>
      </c>
      <c r="C7" s="32" t="n">
        <f aca="false">IFERROR(AVERAGEIFS(Avaliacao!H3:H62,Avaliacao!C3:C62,A7),"")</f>
        <v>0</v>
      </c>
      <c r="D7" s="32" t="n">
        <f aca="false">IFERROR(AVERAGEIFS(Avaliacao!I3:I62,Avaliacao!C3:C62,A7),"")</f>
        <v>5</v>
      </c>
      <c r="E7" s="32" t="n">
        <f aca="false">IFERROR(AVERAGEIFS(Avaliacao!J3:J62,Avaliacao!C3:C62,A7),"")</f>
        <v>0.8</v>
      </c>
      <c r="F7" s="32" t="n">
        <f aca="false">IFERROR(AVERAGEIFS(Avaliacao!K3:K62,Avaliacao!C3:C62,A7),"")</f>
        <v>3.66666666666667</v>
      </c>
      <c r="G7" s="32" t="n">
        <f aca="false">IFERROR(AVERAGEIFS(Avaliacao!L3:L62,Avaliacao!C3:C62,A7,Avaliacao!A3:A62,4),"")</f>
        <v>1.16666666666667</v>
      </c>
      <c r="H7" s="33" t="n">
        <f aca="false">COUNTIFS(Avaliacao!$C$3:$C$62,$A7,Avaliacao!$G$3:$G$62,"S")</f>
        <v>15</v>
      </c>
      <c r="I7" s="33" t="n">
        <f aca="false">SUMIFS(Avaliacao!$H$3:$H$62,Avaliacao!$C$3:$C$62,$A7)</f>
        <v>0</v>
      </c>
      <c r="J7" s="34" t="n">
        <f aca="false">IFERROR(SUMIFS(Avaliacao!$Q$3:$Q$62,Avaliacao!$C$3:$C$62,$A7)/SUMIFS(Avaliacao!$P$3:$P$62,Avaliacao!$C$3:$C$62,$A7)*100,"")</f>
        <v>0.293973542381186</v>
      </c>
      <c r="K7" s="33" t="n">
        <f aca="false">IFERROR(AVERAGEIFS(Avaliacao!$P$3:$P$62,Avaliacao!$C$3:$C$62,$A7),"")</f>
        <v>136.066666666667</v>
      </c>
      <c r="L7" s="33" t="n">
        <f aca="false">IFERROR(AVERAGEIFS(Avaliacao!$S$3:$S$62,Avaliacao!$C$3:$C$62,$A7),"")</f>
        <v>3723.4</v>
      </c>
    </row>
    <row r="8" customFormat="false" ht="15" hidden="false" customHeight="true" outlineLevel="0" collapsed="false">
      <c r="A8" s="35" t="s">
        <v>125</v>
      </c>
      <c r="B8" s="28" t="n">
        <f aca="false">IFERROR(COUNTIFS(Avaliacao!C3:C62,A8,Avaliacao!G3:G62,"S")/COUNTIFS(Avaliacao!C3:C62,A8,Avaliacao!G3:G62,"&lt;&gt;")*100,"")</f>
        <v>53.3333333333333</v>
      </c>
      <c r="C8" s="36" t="n">
        <f aca="false">IFERROR(AVERAGEIFS(Avaliacao!H3:H62,Avaliacao!C3:C62,A8),"")</f>
        <v>0.666666666666667</v>
      </c>
      <c r="D8" s="36" t="n">
        <f aca="false">IFERROR(AVERAGEIFS(Avaliacao!I3:I62,Avaliacao!C3:C62,A8),"")</f>
        <v>5</v>
      </c>
      <c r="E8" s="36" t="n">
        <f aca="false">IFERROR(AVERAGEIFS(Avaliacao!J3:J62,Avaliacao!C3:C62,A8),"")</f>
        <v>0.533333333333333</v>
      </c>
      <c r="F8" s="36" t="n">
        <f aca="false">IFERROR(AVERAGEIFS(Avaliacao!K3:K62,Avaliacao!C3:C62,A8),"")</f>
        <v>4.33333333333333</v>
      </c>
      <c r="G8" s="36" t="n">
        <f aca="false">IFERROR(AVERAGEIFS(Avaliacao!L3:L62,Avaliacao!C3:C62,A8,Avaliacao!A3:A62,4),"")</f>
        <v>2.83333333333333</v>
      </c>
      <c r="H8" s="37" t="n">
        <f aca="false">COUNTIFS(Avaliacao!$C$3:$C$62,$A8,Avaliacao!$G$3:$G$62,"S")</f>
        <v>8</v>
      </c>
      <c r="I8" s="37" t="n">
        <f aca="false">SUMIFS(Avaliacao!$H$3:$H$62,Avaliacao!$C$3:$C$62,$A8)</f>
        <v>10</v>
      </c>
      <c r="J8" s="38" t="n">
        <f aca="false">IFERROR(SUMIFS(Avaliacao!$Q$3:$Q$62,Avaliacao!$C$3:$C$62,$A8)/SUMIFS(Avaliacao!$P$3:$P$62,Avaliacao!$C$3:$C$62,$A8)*100,"")</f>
        <v>0.0879765395894428</v>
      </c>
      <c r="K8" s="37" t="n">
        <f aca="false">IFERROR(AVERAGEIFS(Avaliacao!$P$3:$P$62,Avaliacao!$C$3:$C$62,$A8),"")</f>
        <v>227.333333333333</v>
      </c>
      <c r="L8" s="37" t="n">
        <f aca="false">IFERROR(AVERAGEIFS(Avaliacao!$S$3:$S$62,Avaliacao!$C$3:$C$62,$A8),"")</f>
        <v>3270.8</v>
      </c>
    </row>
  </sheetData>
  <mergeCells count="2">
    <mergeCell ref="A1:L1"/>
    <mergeCell ref="A2:L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7"/>
    <col collapsed="false" customWidth="true" hidden="false" outlineLevel="0" max="10" min="2" style="1" width="15"/>
  </cols>
  <sheetData>
    <row r="1" customFormat="false" ht="15" hidden="false" customHeight="true" outlineLevel="0" collapsed="false">
      <c r="A1" s="39" t="s">
        <v>207</v>
      </c>
      <c r="B1" s="39"/>
      <c r="C1" s="39"/>
      <c r="D1" s="39"/>
      <c r="E1" s="39"/>
      <c r="F1" s="39"/>
      <c r="G1" s="39"/>
      <c r="H1" s="39"/>
      <c r="I1" s="39"/>
      <c r="J1" s="39"/>
    </row>
    <row r="2" customFormat="false" ht="15" hidden="false" customHeight="true" outlineLevel="0" collapsed="false">
      <c r="A2" s="40" t="s">
        <v>208</v>
      </c>
      <c r="B2" s="40"/>
      <c r="C2" s="40"/>
      <c r="D2" s="40"/>
      <c r="E2" s="40"/>
      <c r="F2" s="40"/>
      <c r="G2" s="40"/>
      <c r="H2" s="40"/>
      <c r="I2" s="40"/>
      <c r="J2" s="40"/>
    </row>
    <row r="4" customFormat="false" ht="45" hidden="false" customHeight="true" outlineLevel="0" collapsed="false">
      <c r="A4" s="14" t="s">
        <v>209</v>
      </c>
      <c r="B4" s="14" t="s">
        <v>210</v>
      </c>
      <c r="C4" s="14" t="s">
        <v>211</v>
      </c>
      <c r="D4" s="14" t="s">
        <v>212</v>
      </c>
      <c r="E4" s="14" t="s">
        <v>213</v>
      </c>
      <c r="F4" s="14" t="s">
        <v>214</v>
      </c>
      <c r="G4" s="14" t="s">
        <v>215</v>
      </c>
      <c r="H4" s="14" t="s">
        <v>216</v>
      </c>
      <c r="I4" s="14" t="s">
        <v>205</v>
      </c>
      <c r="J4" s="14" t="s">
        <v>217</v>
      </c>
    </row>
    <row r="5" customFormat="false" ht="15" hidden="false" customHeight="true" outlineLevel="0" collapsed="false">
      <c r="A5" s="1" t="n">
        <v>0</v>
      </c>
      <c r="B5" s="41" t="n">
        <f aca="false">AVERAGEIFS(Avaliacao!$I$3:$I$62,Avaliacao!$A$3:$A$62,$A5)</f>
        <v>5</v>
      </c>
      <c r="C5" s="41" t="n">
        <f aca="false">AVERAGEIFS(Avaliacao!$K$3:$K$62,Avaliacao!$A$3:$A$62,$A5,Avaliacao!$C$3:$C$62,"claude")</f>
        <v>5</v>
      </c>
      <c r="D5" s="41" t="n">
        <f aca="false">AVERAGEIFS(Avaliacao!$K$3:$K$62,Avaliacao!$A$3:$A$62,$A5,Avaliacao!$C$3:$C$62,"gpt")</f>
        <v>5</v>
      </c>
      <c r="E5" s="41" t="n">
        <f aca="false">AVERAGEIFS(Avaliacao!$K$3:$K$62,Avaliacao!$A$3:$A$62,$A5,Avaliacao!$C$3:$C$62,"gemini")</f>
        <v>5</v>
      </c>
      <c r="F5" s="41" t="n">
        <f aca="false">AVERAGEIFS(Avaliacao!$K$3:$K$62,Avaliacao!$A$3:$A$62,$A5,Avaliacao!$C$3:$C$62,"groq")</f>
        <v>5</v>
      </c>
      <c r="G5" s="41" t="n">
        <f aca="false">AVERAGEIFS(Avaliacao!$K$3:$K$62,Avaliacao!$A$3:$A$62,$A5)</f>
        <v>5</v>
      </c>
      <c r="H5" s="41" t="n">
        <f aca="false">IFERROR(SUMIFS(Avaliacao!$Q$3:$Q$62,Avaliacao!$A$3:$A$62,$A5)/SUMIFS(Avaliacao!$P$3:$P$62,Avaliacao!$A$3:$A$62,$A5)*100,"")</f>
        <v>0</v>
      </c>
      <c r="I5" s="41" t="n">
        <f aca="false">AVERAGEIFS(Avaliacao!$P$3:$P$62,Avaliacao!$A$3:$A$62,$A5)</f>
        <v>78.8333333333333</v>
      </c>
      <c r="J5" s="42" t="n">
        <f aca="false">SUMIFS(Avaliacao!$H$3:$H$62,Avaliacao!$A$3:$A$62,$A5)</f>
        <v>0</v>
      </c>
    </row>
    <row r="6" customFormat="false" ht="15" hidden="false" customHeight="true" outlineLevel="0" collapsed="false">
      <c r="A6" s="1" t="n">
        <v>1</v>
      </c>
      <c r="B6" s="41" t="n">
        <f aca="false">AVERAGEIFS(Avaliacao!$I$3:$I$62,Avaliacao!$A$3:$A$62,$A6)</f>
        <v>5</v>
      </c>
      <c r="C6" s="41" t="n">
        <f aca="false">AVERAGEIFS(Avaliacao!$K$3:$K$62,Avaliacao!$A$3:$A$62,$A6,Avaliacao!$C$3:$C$62,"claude")</f>
        <v>5</v>
      </c>
      <c r="D6" s="41" t="n">
        <f aca="false">AVERAGEIFS(Avaliacao!$K$3:$K$62,Avaliacao!$A$3:$A$62,$A6,Avaliacao!$C$3:$C$62,"gpt")</f>
        <v>5</v>
      </c>
      <c r="E6" s="41" t="n">
        <f aca="false">AVERAGEIFS(Avaliacao!$K$3:$K$62,Avaliacao!$A$3:$A$62,$A6,Avaliacao!$C$3:$C$62,"gemini")</f>
        <v>4</v>
      </c>
      <c r="F6" s="41" t="n">
        <f aca="false">AVERAGEIFS(Avaliacao!$K$3:$K$62,Avaliacao!$A$3:$A$62,$A6,Avaliacao!$C$3:$C$62,"groq")</f>
        <v>4.33333333333333</v>
      </c>
      <c r="G6" s="41" t="n">
        <f aca="false">AVERAGEIFS(Avaliacao!$K$3:$K$62,Avaliacao!$A$3:$A$62,$A6)</f>
        <v>4.58333333333333</v>
      </c>
      <c r="H6" s="41" t="n">
        <f aca="false">IFERROR(SUMIFS(Avaliacao!$Q$3:$Q$62,Avaliacao!$A$3:$A$62,$A6)/SUMIFS(Avaliacao!$P$3:$P$62,Avaliacao!$A$3:$A$62,$A6)*100,"")</f>
        <v>0</v>
      </c>
      <c r="I6" s="41" t="n">
        <f aca="false">AVERAGEIFS(Avaliacao!$P$3:$P$62,Avaliacao!$A$3:$A$62,$A6)</f>
        <v>359.333333333333</v>
      </c>
      <c r="J6" s="42" t="n">
        <f aca="false">SUMIFS(Avaliacao!$H$3:$H$62,Avaliacao!$A$3:$A$62,$A6)</f>
        <v>4</v>
      </c>
    </row>
    <row r="7" customFormat="false" ht="15" hidden="false" customHeight="true" outlineLevel="0" collapsed="false">
      <c r="A7" s="1" t="n">
        <v>2</v>
      </c>
      <c r="B7" s="41" t="n">
        <f aca="false">AVERAGEIFS(Avaliacao!$I$3:$I$62,Avaliacao!$A$3:$A$62,$A7)</f>
        <v>5</v>
      </c>
      <c r="C7" s="41" t="n">
        <f aca="false">AVERAGEIFS(Avaliacao!$K$3:$K$62,Avaliacao!$A$3:$A$62,$A7,Avaliacao!$C$3:$C$62,"claude")</f>
        <v>5</v>
      </c>
      <c r="D7" s="41" t="n">
        <f aca="false">AVERAGEIFS(Avaliacao!$K$3:$K$62,Avaliacao!$A$3:$A$62,$A7,Avaliacao!$C$3:$C$62,"gpt")</f>
        <v>4.66666666666667</v>
      </c>
      <c r="E7" s="41" t="n">
        <f aca="false">AVERAGEIFS(Avaliacao!$K$3:$K$62,Avaliacao!$A$3:$A$62,$A7,Avaliacao!$C$3:$C$62,"gemini")</f>
        <v>3.66666666666667</v>
      </c>
      <c r="F7" s="41" t="n">
        <f aca="false">AVERAGEIFS(Avaliacao!$K$3:$K$62,Avaliacao!$A$3:$A$62,$A7,Avaliacao!$C$3:$C$62,"groq")</f>
        <v>4.33333333333333</v>
      </c>
      <c r="G7" s="41" t="n">
        <f aca="false">AVERAGEIFS(Avaliacao!$K$3:$K$62,Avaliacao!$A$3:$A$62,$A7)</f>
        <v>4.41666666666667</v>
      </c>
      <c r="H7" s="41" t="n">
        <f aca="false">IFERROR(SUMIFS(Avaliacao!$Q$3:$Q$62,Avaliacao!$A$3:$A$62,$A7)/SUMIFS(Avaliacao!$P$3:$P$62,Avaliacao!$A$3:$A$62,$A7)*100,"")</f>
        <v>0.0333667000333667</v>
      </c>
      <c r="I7" s="41" t="n">
        <f aca="false">AVERAGEIFS(Avaliacao!$P$3:$P$62,Avaliacao!$A$3:$A$62,$A7)</f>
        <v>249.75</v>
      </c>
      <c r="J7" s="42" t="n">
        <f aca="false">SUMIFS(Avaliacao!$H$3:$H$62,Avaliacao!$A$3:$A$62,$A7)</f>
        <v>4</v>
      </c>
    </row>
    <row r="8" customFormat="false" ht="15" hidden="false" customHeight="true" outlineLevel="0" collapsed="false">
      <c r="A8" s="1" t="n">
        <v>3</v>
      </c>
      <c r="B8" s="41" t="n">
        <f aca="false">AVERAGEIFS(Avaliacao!$I$3:$I$62,Avaliacao!$A$3:$A$62,$A8)</f>
        <v>5</v>
      </c>
      <c r="C8" s="41" t="n">
        <f aca="false">AVERAGEIFS(Avaliacao!$K$3:$K$62,Avaliacao!$A$3:$A$62,$A8,Avaliacao!$C$3:$C$62,"claude")</f>
        <v>5</v>
      </c>
      <c r="D8" s="41" t="n">
        <f aca="false">AVERAGEIFS(Avaliacao!$K$3:$K$62,Avaliacao!$A$3:$A$62,$A8,Avaliacao!$C$3:$C$62,"gpt")</f>
        <v>5</v>
      </c>
      <c r="E8" s="41" t="n">
        <f aca="false">AVERAGEIFS(Avaliacao!$K$3:$K$62,Avaliacao!$A$3:$A$62,$A8,Avaliacao!$C$3:$C$62,"gemini")</f>
        <v>3.33333333333333</v>
      </c>
      <c r="F8" s="41" t="n">
        <f aca="false">AVERAGEIFS(Avaliacao!$K$3:$K$62,Avaliacao!$A$3:$A$62,$A8,Avaliacao!$C$3:$C$62,"groq")</f>
        <v>4.33333333333333</v>
      </c>
      <c r="G8" s="41" t="n">
        <f aca="false">AVERAGEIFS(Avaliacao!$K$3:$K$62,Avaliacao!$A$3:$A$62,$A8)</f>
        <v>4.41666666666667</v>
      </c>
      <c r="H8" s="41" t="n">
        <f aca="false">IFERROR(SUMIFS(Avaliacao!$Q$3:$Q$62,Avaliacao!$A$3:$A$62,$A8)/SUMIFS(Avaliacao!$P$3:$P$62,Avaliacao!$A$3:$A$62,$A8)*100,"")</f>
        <v>0.0460087416609156</v>
      </c>
      <c r="I8" s="41" t="n">
        <f aca="false">AVERAGEIFS(Avaliacao!$P$3:$P$62,Avaliacao!$A$3:$A$62,$A8)</f>
        <v>362.25</v>
      </c>
      <c r="J8" s="42" t="n">
        <f aca="false">SUMIFS(Avaliacao!$H$3:$H$62,Avaliacao!$A$3:$A$62,$A8)</f>
        <v>1</v>
      </c>
    </row>
    <row r="9" customFormat="false" ht="15" hidden="false" customHeight="true" outlineLevel="0" collapsed="false">
      <c r="A9" s="1" t="n">
        <v>4</v>
      </c>
      <c r="B9" s="41" t="n">
        <f aca="false">AVERAGEIFS(Avaliacao!$I$3:$I$62,Avaliacao!$A$3:$A$62,$A9)</f>
        <v>5</v>
      </c>
      <c r="C9" s="41" t="n">
        <f aca="false">AVERAGEIFS(Avaliacao!$K$3:$K$62,Avaliacao!$A$3:$A$62,$A9,Avaliacao!$C$3:$C$62,"claude")</f>
        <v>4.33333333333333</v>
      </c>
      <c r="D9" s="41" t="n">
        <f aca="false">AVERAGEIFS(Avaliacao!$K$3:$K$62,Avaliacao!$A$3:$A$62,$A9,Avaliacao!$C$3:$C$62,"gpt")</f>
        <v>5</v>
      </c>
      <c r="E9" s="41" t="n">
        <f aca="false">AVERAGEIFS(Avaliacao!$K$3:$K$62,Avaliacao!$A$3:$A$62,$A9,Avaliacao!$C$3:$C$62,"gemini")</f>
        <v>2.33333333333333</v>
      </c>
      <c r="F9" s="41" t="n">
        <f aca="false">AVERAGEIFS(Avaliacao!$K$3:$K$62,Avaliacao!$A$3:$A$62,$A9,Avaliacao!$C$3:$C$62,"groq")</f>
        <v>3.66666666666667</v>
      </c>
      <c r="G9" s="41" t="n">
        <f aca="false">AVERAGEIFS(Avaliacao!$K$3:$K$62,Avaliacao!$A$3:$A$62,$A9)</f>
        <v>3.83333333333333</v>
      </c>
      <c r="H9" s="41" t="n">
        <f aca="false">IFERROR(SUMIFS(Avaliacao!$Q$3:$Q$62,Avaliacao!$A$3:$A$62,$A9)/SUMIFS(Avaliacao!$P$3:$P$62,Avaliacao!$A$3:$A$62,$A9)*100,"")</f>
        <v>0.240219629375429</v>
      </c>
      <c r="I9" s="41" t="n">
        <f aca="false">AVERAGEIFS(Avaliacao!$P$3:$P$62,Avaliacao!$A$3:$A$62,$A9)</f>
        <v>485.666666666667</v>
      </c>
      <c r="J9" s="42" t="n">
        <f aca="false">SUMIFS(Avaliacao!$H$3:$H$62,Avaliacao!$A$3:$A$62,$A9)</f>
        <v>1</v>
      </c>
    </row>
  </sheetData>
  <mergeCells count="2">
    <mergeCell ref="A1:J1"/>
    <mergeCell ref="A2:J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4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2" min="1" style="1" width="18"/>
    <col collapsed="false" customWidth="true" hidden="false" outlineLevel="0" max="4" min="3" style="1" width="10"/>
    <col collapsed="false" customWidth="true" hidden="false" outlineLevel="0" max="5" min="5" style="1" width="95"/>
  </cols>
  <sheetData>
    <row r="1" customFormat="false" ht="15" hidden="false" customHeight="true" outlineLevel="0" collapsed="false">
      <c r="A1" s="39" t="s">
        <v>218</v>
      </c>
      <c r="B1" s="39"/>
      <c r="C1" s="39"/>
      <c r="D1" s="39"/>
      <c r="E1" s="39"/>
    </row>
    <row r="2" customFormat="false" ht="61.5" hidden="false" customHeight="true" outlineLevel="0" collapsed="false">
      <c r="A2" s="43" t="s">
        <v>219</v>
      </c>
      <c r="B2" s="43"/>
      <c r="C2" s="43"/>
      <c r="D2" s="43"/>
      <c r="E2" s="43"/>
    </row>
    <row r="4" customFormat="false" ht="15" hidden="false" customHeight="true" outlineLevel="0" collapsed="false">
      <c r="A4" s="44" t="s">
        <v>220</v>
      </c>
      <c r="B4" s="44" t="s">
        <v>221</v>
      </c>
      <c r="C4" s="44" t="s">
        <v>222</v>
      </c>
      <c r="D4" s="44" t="s">
        <v>223</v>
      </c>
      <c r="E4" s="44" t="s">
        <v>224</v>
      </c>
    </row>
    <row r="5" customFormat="false" ht="23.25" hidden="false" customHeight="true" outlineLevel="0" collapsed="false">
      <c r="A5" s="45" t="s">
        <v>225</v>
      </c>
      <c r="B5" s="45" t="s">
        <v>226</v>
      </c>
      <c r="C5" s="45" t="n">
        <v>4</v>
      </c>
      <c r="D5" s="45" t="n">
        <v>5</v>
      </c>
      <c r="E5" s="45" t="s">
        <v>227</v>
      </c>
    </row>
    <row r="6" customFormat="false" ht="15" hidden="false" customHeight="true" outlineLevel="0" collapsed="false">
      <c r="A6" s="45" t="s">
        <v>225</v>
      </c>
      <c r="B6" s="45" t="s">
        <v>228</v>
      </c>
      <c r="C6" s="45" t="n">
        <v>4</v>
      </c>
      <c r="D6" s="45" t="n">
        <v>5</v>
      </c>
      <c r="E6" s="45" t="s">
        <v>229</v>
      </c>
    </row>
    <row r="7" customFormat="false" ht="23.25" hidden="false" customHeight="true" outlineLevel="0" collapsed="false">
      <c r="A7" s="45" t="s">
        <v>230</v>
      </c>
      <c r="B7" s="45" t="s">
        <v>226</v>
      </c>
      <c r="C7" s="45" t="n">
        <v>3</v>
      </c>
      <c r="D7" s="45" t="n">
        <v>5</v>
      </c>
      <c r="E7" s="45" t="s">
        <v>227</v>
      </c>
    </row>
    <row r="8" customFormat="false" ht="15" hidden="false" customHeight="true" outlineLevel="0" collapsed="false">
      <c r="A8" s="45" t="s">
        <v>230</v>
      </c>
      <c r="B8" s="45" t="s">
        <v>228</v>
      </c>
      <c r="C8" s="45" t="n">
        <v>3</v>
      </c>
      <c r="D8" s="45" t="n">
        <v>5</v>
      </c>
      <c r="E8" s="45" t="s">
        <v>231</v>
      </c>
    </row>
    <row r="9" customFormat="false" ht="23.25" hidden="false" customHeight="true" outlineLevel="0" collapsed="false">
      <c r="A9" s="45" t="s">
        <v>232</v>
      </c>
      <c r="B9" s="45" t="s">
        <v>226</v>
      </c>
      <c r="C9" s="45" t="n">
        <v>4</v>
      </c>
      <c r="D9" s="45" t="n">
        <v>5</v>
      </c>
      <c r="E9" s="45" t="s">
        <v>233</v>
      </c>
    </row>
    <row r="10" customFormat="false" ht="23.25" hidden="false" customHeight="true" outlineLevel="0" collapsed="false">
      <c r="A10" s="45" t="s">
        <v>234</v>
      </c>
      <c r="B10" s="45" t="s">
        <v>226</v>
      </c>
      <c r="C10" s="45" t="n">
        <v>3</v>
      </c>
      <c r="D10" s="45" t="n">
        <v>4</v>
      </c>
      <c r="E10" s="45" t="s">
        <v>235</v>
      </c>
    </row>
    <row r="11" customFormat="false" ht="34.5" hidden="false" customHeight="true" outlineLevel="0" collapsed="false">
      <c r="A11" s="45" t="s">
        <v>236</v>
      </c>
      <c r="B11" s="45" t="s">
        <v>226</v>
      </c>
      <c r="C11" s="45" t="n">
        <v>4</v>
      </c>
      <c r="D11" s="45" t="n">
        <v>5</v>
      </c>
      <c r="E11" s="45" t="s">
        <v>237</v>
      </c>
    </row>
    <row r="12" customFormat="false" ht="34.5" hidden="false" customHeight="true" outlineLevel="0" collapsed="false">
      <c r="A12" s="45" t="s">
        <v>238</v>
      </c>
      <c r="B12" s="45" t="s">
        <v>226</v>
      </c>
      <c r="C12" s="45" t="n">
        <v>4</v>
      </c>
      <c r="D12" s="45" t="n">
        <v>5</v>
      </c>
      <c r="E12" s="45" t="s">
        <v>237</v>
      </c>
    </row>
    <row r="13" customFormat="false" ht="23.25" hidden="false" customHeight="true" outlineLevel="0" collapsed="false">
      <c r="A13" s="45" t="s">
        <v>239</v>
      </c>
      <c r="B13" s="45" t="s">
        <v>240</v>
      </c>
      <c r="C13" s="45" t="n">
        <v>0</v>
      </c>
      <c r="D13" s="45" t="n">
        <v>1</v>
      </c>
      <c r="E13" s="45" t="s">
        <v>241</v>
      </c>
    </row>
    <row r="14" customFormat="false" ht="23.25" hidden="false" customHeight="true" outlineLevel="0" collapsed="false">
      <c r="A14" s="45" t="s">
        <v>242</v>
      </c>
      <c r="B14" s="45" t="s">
        <v>240</v>
      </c>
      <c r="C14" s="45" t="n">
        <v>0</v>
      </c>
      <c r="D14" s="45" t="n">
        <v>1</v>
      </c>
      <c r="E14" s="45" t="s">
        <v>241</v>
      </c>
    </row>
    <row r="15" customFormat="false" ht="23.25" hidden="false" customHeight="true" outlineLevel="0" collapsed="false">
      <c r="A15" s="45" t="s">
        <v>243</v>
      </c>
      <c r="B15" s="45" t="s">
        <v>240</v>
      </c>
      <c r="C15" s="45" t="n">
        <v>2</v>
      </c>
      <c r="D15" s="45" t="n">
        <v>1</v>
      </c>
      <c r="E15" s="45" t="s">
        <v>244</v>
      </c>
    </row>
    <row r="16" customFormat="false" ht="23.25" hidden="false" customHeight="true" outlineLevel="0" collapsed="false">
      <c r="A16" s="45" t="s">
        <v>243</v>
      </c>
      <c r="B16" s="45" t="s">
        <v>228</v>
      </c>
      <c r="C16" s="45" t="s">
        <v>245</v>
      </c>
      <c r="D16" s="45" t="n">
        <v>4</v>
      </c>
      <c r="E16" s="45" t="s">
        <v>246</v>
      </c>
    </row>
    <row r="17" customFormat="false" ht="23.25" hidden="false" customHeight="true" outlineLevel="0" collapsed="false">
      <c r="A17" s="45" t="s">
        <v>236</v>
      </c>
      <c r="B17" s="45" t="s">
        <v>247</v>
      </c>
      <c r="C17" s="45" t="n">
        <v>4</v>
      </c>
      <c r="D17" s="45" t="n">
        <v>3</v>
      </c>
      <c r="E17" s="45" t="s">
        <v>248</v>
      </c>
    </row>
    <row r="18" customFormat="false" ht="23.25" hidden="false" customHeight="true" outlineLevel="0" collapsed="false">
      <c r="A18" s="45" t="s">
        <v>238</v>
      </c>
      <c r="B18" s="45" t="s">
        <v>247</v>
      </c>
      <c r="C18" s="45" t="n">
        <v>4</v>
      </c>
      <c r="D18" s="45" t="n">
        <v>3</v>
      </c>
      <c r="E18" s="45" t="s">
        <v>248</v>
      </c>
    </row>
    <row r="19" customFormat="false" ht="23.25" hidden="false" customHeight="true" outlineLevel="0" collapsed="false">
      <c r="A19" s="45" t="s">
        <v>249</v>
      </c>
      <c r="B19" s="45" t="s">
        <v>247</v>
      </c>
      <c r="C19" s="45" t="n">
        <v>4</v>
      </c>
      <c r="D19" s="45" t="n">
        <v>3</v>
      </c>
      <c r="E19" s="45" t="s">
        <v>248</v>
      </c>
    </row>
    <row r="20" customFormat="false" ht="23.25" hidden="false" customHeight="true" outlineLevel="0" collapsed="false">
      <c r="A20" s="45" t="s">
        <v>250</v>
      </c>
      <c r="B20" s="45" t="s">
        <v>247</v>
      </c>
      <c r="C20" s="45" t="n">
        <v>3</v>
      </c>
      <c r="D20" s="45" t="n">
        <v>1</v>
      </c>
      <c r="E20" s="45" t="s">
        <v>248</v>
      </c>
    </row>
    <row r="21" customFormat="false" ht="23.25" hidden="false" customHeight="true" outlineLevel="0" collapsed="false">
      <c r="A21" s="45" t="s">
        <v>251</v>
      </c>
      <c r="B21" s="45" t="s">
        <v>247</v>
      </c>
      <c r="C21" s="45" t="n">
        <v>3</v>
      </c>
      <c r="D21" s="45" t="n">
        <v>1.5</v>
      </c>
      <c r="E21" s="45" t="s">
        <v>248</v>
      </c>
    </row>
    <row r="22" customFormat="false" ht="23.25" hidden="false" customHeight="true" outlineLevel="0" collapsed="false">
      <c r="A22" s="45" t="s">
        <v>252</v>
      </c>
      <c r="B22" s="45" t="s">
        <v>247</v>
      </c>
      <c r="C22" s="45" t="n">
        <v>2</v>
      </c>
      <c r="D22" s="45" t="n">
        <v>1</v>
      </c>
      <c r="E22" s="45" t="s">
        <v>248</v>
      </c>
    </row>
    <row r="23" customFormat="false" ht="23.25" hidden="false" customHeight="true" outlineLevel="0" collapsed="false">
      <c r="A23" s="45" t="s">
        <v>243</v>
      </c>
      <c r="B23" s="45" t="s">
        <v>247</v>
      </c>
      <c r="C23" s="45" t="n">
        <v>4</v>
      </c>
      <c r="D23" s="45" t="n">
        <v>3</v>
      </c>
      <c r="E23" s="45" t="s">
        <v>248</v>
      </c>
    </row>
    <row r="24" customFormat="false" ht="23.25" hidden="false" customHeight="true" outlineLevel="0" collapsed="false">
      <c r="A24" s="45" t="s">
        <v>253</v>
      </c>
      <c r="B24" s="45" t="s">
        <v>247</v>
      </c>
      <c r="C24" s="45" t="n">
        <v>3</v>
      </c>
      <c r="D24" s="45" t="n">
        <v>2.5</v>
      </c>
      <c r="E24" s="45" t="s">
        <v>248</v>
      </c>
    </row>
    <row r="25" customFormat="false" ht="23.25" hidden="false" customHeight="true" outlineLevel="0" collapsed="false">
      <c r="A25" s="45" t="s">
        <v>254</v>
      </c>
      <c r="B25" s="45" t="s">
        <v>247</v>
      </c>
      <c r="C25" s="45" t="n">
        <v>4</v>
      </c>
      <c r="D25" s="45" t="n">
        <v>3</v>
      </c>
      <c r="E25" s="45" t="s">
        <v>248</v>
      </c>
    </row>
    <row r="27" customFormat="false" ht="75" hidden="false" customHeight="true" outlineLevel="0" collapsed="false">
      <c r="A27" s="43" t="s">
        <v>255</v>
      </c>
      <c r="B27" s="43"/>
      <c r="C27" s="43"/>
      <c r="D27" s="43"/>
      <c r="E27" s="43"/>
    </row>
    <row r="30" customFormat="false" ht="15" hidden="false" customHeight="true" outlineLevel="0" collapsed="false">
      <c r="A30" s="39" t="s">
        <v>256</v>
      </c>
      <c r="B30" s="39"/>
      <c r="C30" s="39"/>
      <c r="D30" s="39"/>
      <c r="E30" s="39"/>
    </row>
    <row r="31" customFormat="false" ht="117.75" hidden="false" customHeight="true" outlineLevel="0" collapsed="false">
      <c r="A31" s="46" t="s">
        <v>257</v>
      </c>
      <c r="B31" s="46"/>
      <c r="C31" s="46"/>
      <c r="D31" s="46"/>
      <c r="E31" s="46"/>
    </row>
    <row r="33" customFormat="false" ht="15" hidden="false" customHeight="true" outlineLevel="0" collapsed="false">
      <c r="A33" s="44" t="s">
        <v>220</v>
      </c>
      <c r="B33" s="44" t="s">
        <v>221</v>
      </c>
      <c r="C33" s="44" t="s">
        <v>222</v>
      </c>
      <c r="D33" s="44" t="s">
        <v>258</v>
      </c>
      <c r="E33" s="44" t="s">
        <v>259</v>
      </c>
    </row>
    <row r="34" customFormat="false" ht="23.25" hidden="false" customHeight="true" outlineLevel="0" collapsed="false">
      <c r="A34" s="45" t="s">
        <v>239</v>
      </c>
      <c r="B34" s="45" t="s">
        <v>240</v>
      </c>
      <c r="C34" s="45" t="n">
        <v>1</v>
      </c>
      <c r="D34" s="45" t="n">
        <v>0</v>
      </c>
      <c r="E34" s="45" t="s">
        <v>260</v>
      </c>
    </row>
    <row r="35" customFormat="false" ht="23.25" hidden="false" customHeight="true" outlineLevel="0" collapsed="false">
      <c r="A35" s="45" t="s">
        <v>242</v>
      </c>
      <c r="B35" s="45" t="s">
        <v>240</v>
      </c>
      <c r="C35" s="45" t="n">
        <v>1</v>
      </c>
      <c r="D35" s="45" t="n">
        <v>0</v>
      </c>
      <c r="E35" s="45" t="s">
        <v>260</v>
      </c>
    </row>
    <row r="36" customFormat="false" ht="15" hidden="false" customHeight="true" outlineLevel="0" collapsed="false">
      <c r="A36" s="45" t="s">
        <v>234</v>
      </c>
      <c r="B36" s="45" t="s">
        <v>226</v>
      </c>
      <c r="C36" s="45" t="n">
        <v>4</v>
      </c>
      <c r="D36" s="45" t="n">
        <v>5</v>
      </c>
      <c r="E36" s="45" t="s">
        <v>261</v>
      </c>
    </row>
    <row r="37" customFormat="false" ht="15" hidden="false" customHeight="true" outlineLevel="0" collapsed="false">
      <c r="A37" s="45" t="s">
        <v>262</v>
      </c>
      <c r="B37" s="45" t="s">
        <v>228</v>
      </c>
      <c r="C37" s="45" t="n">
        <v>4</v>
      </c>
      <c r="D37" s="45" t="n">
        <v>3</v>
      </c>
      <c r="E37" s="45" t="s">
        <v>263</v>
      </c>
    </row>
    <row r="38" customFormat="false" ht="15" hidden="false" customHeight="true" outlineLevel="0" collapsed="false">
      <c r="A38" s="45" t="s">
        <v>250</v>
      </c>
      <c r="B38" s="45" t="s">
        <v>247</v>
      </c>
      <c r="C38" s="45" t="n">
        <v>1</v>
      </c>
      <c r="D38" s="45" t="n">
        <v>1.5</v>
      </c>
      <c r="E38" s="45" t="s">
        <v>264</v>
      </c>
    </row>
    <row r="39" customFormat="false" ht="15" hidden="false" customHeight="true" outlineLevel="0" collapsed="false">
      <c r="A39" s="45" t="s">
        <v>251</v>
      </c>
      <c r="B39" s="45" t="s">
        <v>228</v>
      </c>
      <c r="C39" s="45" t="n">
        <v>3</v>
      </c>
      <c r="D39" s="45" t="n">
        <v>2</v>
      </c>
      <c r="E39" s="45" t="s">
        <v>263</v>
      </c>
    </row>
    <row r="40" customFormat="false" ht="15" hidden="false" customHeight="true" outlineLevel="0" collapsed="false">
      <c r="A40" s="45" t="s">
        <v>251</v>
      </c>
      <c r="B40" s="45" t="s">
        <v>247</v>
      </c>
      <c r="C40" s="45" t="n">
        <v>1.5</v>
      </c>
      <c r="D40" s="45" t="n">
        <v>1</v>
      </c>
      <c r="E40" s="45" t="s">
        <v>264</v>
      </c>
    </row>
    <row r="42" customFormat="false" ht="31.5" hidden="false" customHeight="true" outlineLevel="0" collapsed="false">
      <c r="A42" s="46" t="s">
        <v>265</v>
      </c>
      <c r="B42" s="46"/>
      <c r="C42" s="46"/>
      <c r="D42" s="46"/>
      <c r="E42" s="46"/>
    </row>
  </sheetData>
  <mergeCells count="6">
    <mergeCell ref="A1:E1"/>
    <mergeCell ref="A2:E2"/>
    <mergeCell ref="A27:E27"/>
    <mergeCell ref="A30:E30"/>
    <mergeCell ref="A31:E31"/>
    <mergeCell ref="A42:E4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2026-08-18T22:02:30Z</dcterms:created>
  <dc:creator>openpyxl</dc:creator>
  <dc:description/>
  <dc:language>en-US</dc:language>
  <cp:lastModifiedBy/>
  <dcterms:modified xsi:type="dcterms:W3CDTF">2026-09-28T19:10:20Z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